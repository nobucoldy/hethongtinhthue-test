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8880" tabRatio="801" firstSheet="0" activeTab="3" autoFilterDateGrouping="1"/>
  </bookViews>
  <sheets>
    <sheet xmlns:r="http://schemas.openxmlformats.org/officeDocument/2006/relationships" name="Cover page" sheetId="1" state="visible" r:id="rId1"/>
    <sheet xmlns:r="http://schemas.openxmlformats.org/officeDocument/2006/relationships" name="Glossary" sheetId="2" state="visible" r:id="rId2"/>
    <sheet xmlns:r="http://schemas.openxmlformats.org/officeDocument/2006/relationships" name="Function Test Cases" sheetId="3" state="visible" r:id="rId3"/>
    <sheet xmlns:r="http://schemas.openxmlformats.org/officeDocument/2006/relationships" name="Security_Performanc Test Cases" sheetId="4" state="visible" r:id="rId4"/>
    <sheet xmlns:r="http://schemas.openxmlformats.org/officeDocument/2006/relationships" name="GUI_Usability Test Cases" sheetId="5" state="visible" r:id="rId5"/>
  </sheets>
  <definedNames>
    <definedName name="d">'Function Test Cases'!$L$4</definedName>
    <definedName name="_Toc506113793" localSheetId="0">'Cover page'!$B$16</definedName>
  </definedNames>
  <calcPr calcId="191029" fullCalcOnLoad="1"/>
</workbook>
</file>

<file path=xl/styles.xml><?xml version="1.0" encoding="utf-8"?>
<styleSheet xmlns="http://schemas.openxmlformats.org/spreadsheetml/2006/main">
  <numFmts count="1">
    <numFmt numFmtId="164" formatCode="mmmm\ d\,\ yyyy"/>
  </numFmts>
  <fonts count="20">
    <font>
      <name val="Arial"/>
      <sz val="10"/>
    </font>
    <font>
      <name val="Arial"/>
      <family val="2"/>
      <sz val="10"/>
    </font>
    <font>
      <name val="Arial"/>
      <family val="2"/>
      <i val="1"/>
      <color indexed="12"/>
      <sz val="10"/>
    </font>
    <font>
      <name val="Arial Narrow"/>
      <family val="2"/>
      <b val="1"/>
      <sz val="10"/>
    </font>
    <font>
      <name val="Arial Narrow"/>
      <family val="2"/>
      <i val="1"/>
      <sz val="22"/>
    </font>
    <font>
      <name val="Arial Narrow"/>
      <family val="2"/>
      <sz val="10"/>
    </font>
    <font>
      <name val="Arial"/>
      <family val="2"/>
      <sz val="10"/>
    </font>
    <font>
      <name val="Arial"/>
      <family val="2"/>
      <sz val="10"/>
    </font>
    <font>
      <name val="Arial"/>
      <family val="2"/>
      <b val="1"/>
      <sz val="10"/>
    </font>
    <font>
      <name val="Arial"/>
      <family val="2"/>
      <sz val="10"/>
    </font>
    <font>
      <name val="Tahoma"/>
      <family val="2"/>
      <color indexed="81"/>
      <sz val="8"/>
    </font>
    <font>
      <name val="Tahoma"/>
      <family val="2"/>
      <b val="1"/>
      <color indexed="81"/>
      <sz val="8"/>
    </font>
    <font>
      <name val="Arial"/>
      <family val="2"/>
      <i val="1"/>
      <sz val="10"/>
    </font>
    <font>
      <name val="Arial"/>
      <family val="2"/>
      <b val="1"/>
      <color indexed="18"/>
      <sz val="22"/>
    </font>
    <font>
      <name val="Arial"/>
      <family val="2"/>
      <b val="1"/>
      <sz val="18"/>
    </font>
    <font>
      <name val="Arial Narrow"/>
      <family val="2"/>
      <i val="1"/>
      <color indexed="12"/>
      <sz val="11"/>
    </font>
    <font>
      <name val="Arial"/>
      <color rgb="00000000"/>
      <sz val="10"/>
    </font>
    <font>
      <name val="Arial"/>
      <b val="1"/>
      <color rgb="00000000"/>
      <sz val="10"/>
    </font>
    <font>
      <name val="Arial"/>
      <b val="1"/>
      <color rgb="001F4E79"/>
      <sz val="10"/>
    </font>
    <font>
      <name val="Arial"/>
      <b val="1"/>
      <color rgb="001E7E34"/>
      <sz val="10"/>
    </font>
  </fonts>
  <fills count="8">
    <fill>
      <patternFill/>
    </fill>
    <fill>
      <patternFill patternType="gray125"/>
    </fill>
    <fill>
      <patternFill patternType="solid">
        <fgColor indexed="41"/>
        <bgColor indexed="64"/>
      </patternFill>
    </fill>
    <fill>
      <patternFill patternType="solid">
        <fgColor indexed="44"/>
        <bgColor indexed="64"/>
      </patternFill>
    </fill>
    <fill>
      <patternFill patternType="solid">
        <fgColor rgb="00FFFFFF"/>
        <bgColor rgb="00FFFFFF"/>
      </patternFill>
    </fill>
    <fill>
      <patternFill patternType="solid">
        <fgColor rgb="00EDF2F8"/>
        <bgColor rgb="00EDF2F8"/>
      </patternFill>
    </fill>
    <fill>
      <patternFill patternType="solid">
        <fgColor rgb="00E6F4EA"/>
        <bgColor rgb="00E6F4EA"/>
      </patternFill>
    </fill>
    <fill>
      <patternFill patternType="solid">
        <fgColor rgb="00F8FAFC"/>
        <bgColor rgb="00F8FAFC"/>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75">
    <xf numFmtId="0" fontId="0" fillId="0" borderId="0" pivotButton="0" quotePrefix="0" xfId="0"/>
    <xf numFmtId="0" fontId="2" fillId="0" borderId="0" pivotButton="0" quotePrefix="0" xfId="0"/>
    <xf numFmtId="0" fontId="6" fillId="0" borderId="0" pivotButton="0" quotePrefix="0" xfId="0"/>
    <xf numFmtId="0" fontId="0" fillId="0" borderId="1" pivotButton="0" quotePrefix="0" xfId="0"/>
    <xf numFmtId="0" fontId="1" fillId="0" borderId="0" pivotButton="0" quotePrefix="0" xfId="0"/>
    <xf numFmtId="0" fontId="7" fillId="0" borderId="0" pivotButton="0" quotePrefix="0" xfId="0"/>
    <xf numFmtId="0" fontId="9" fillId="0" borderId="0" pivotButton="0" quotePrefix="0" xfId="0"/>
    <xf numFmtId="0" fontId="8" fillId="0" borderId="0" applyAlignment="1" pivotButton="0" quotePrefix="0" xfId="0">
      <alignment horizontal="center"/>
    </xf>
    <xf numFmtId="0" fontId="3" fillId="2" borderId="1" applyAlignment="1" pivotButton="0" quotePrefix="0" xfId="0">
      <alignment horizontal="center" vertical="center" wrapText="1"/>
    </xf>
    <xf numFmtId="0" fontId="0" fillId="0" borderId="0" applyAlignment="1" pivotButton="0" quotePrefix="0" xfId="0">
      <alignment horizontal="right" vertical="top"/>
    </xf>
    <xf numFmtId="0" fontId="0" fillId="0" borderId="1" applyAlignment="1" pivotButton="0" quotePrefix="0" xfId="0">
      <alignment horizontal="left" vertical="top"/>
    </xf>
    <xf numFmtId="0" fontId="0" fillId="0" borderId="0" applyAlignment="1" pivotButton="0" quotePrefix="0" xfId="0">
      <alignment horizontal="left" vertical="top"/>
    </xf>
    <xf numFmtId="0" fontId="12" fillId="0" borderId="0" applyAlignment="1" pivotButton="0" quotePrefix="0" xfId="0">
      <alignment horizontal="right"/>
    </xf>
    <xf numFmtId="0" fontId="2" fillId="0" borderId="0" applyAlignment="1" pivotButton="0" quotePrefix="0" xfId="0">
      <alignment horizontal="left" vertical="top"/>
    </xf>
    <xf numFmtId="0" fontId="0" fillId="0" borderId="1" applyAlignment="1" pivotButton="0" quotePrefix="0" xfId="0">
      <alignment horizontal="left"/>
    </xf>
    <xf numFmtId="0" fontId="0" fillId="0" borderId="1" applyAlignment="1" pivotButton="0" quotePrefix="0" xfId="0">
      <alignment horizontal="left" vertical="top" textRotation="90"/>
    </xf>
    <xf numFmtId="0" fontId="15" fillId="0" borderId="0" pivotButton="0" quotePrefix="0" xfId="0"/>
    <xf numFmtId="0" fontId="3" fillId="2" borderId="1" applyAlignment="1" pivotButton="0" quotePrefix="0" xfId="0">
      <alignment horizontal="center" wrapText="1"/>
    </xf>
    <xf numFmtId="0" fontId="5" fillId="0" borderId="1" applyAlignment="1" pivotButton="0" quotePrefix="0" xfId="0">
      <alignment horizontal="left" vertical="top" wrapText="1"/>
    </xf>
    <xf numFmtId="0" fontId="1" fillId="0" borderId="1" applyAlignment="1" pivotButton="0" quotePrefix="0" xfId="0">
      <alignment horizontal="center"/>
    </xf>
    <xf numFmtId="0" fontId="6" fillId="0" borderId="1" applyAlignment="1" pivotButton="0" quotePrefix="0" xfId="0">
      <alignment horizontal="left"/>
    </xf>
    <xf numFmtId="0" fontId="6" fillId="0" borderId="3" applyAlignment="1" pivotButton="0" quotePrefix="0" xfId="0">
      <alignment horizontal="left"/>
    </xf>
    <xf numFmtId="0" fontId="6" fillId="0" borderId="5" applyAlignment="1" pivotButton="0" quotePrefix="0" xfId="0">
      <alignment horizontal="left"/>
    </xf>
    <xf numFmtId="0" fontId="6" fillId="0" borderId="4" applyAlignment="1" pivotButton="0" quotePrefix="0" xfId="0">
      <alignment horizontal="left"/>
    </xf>
    <xf numFmtId="164" fontId="5" fillId="0" borderId="3" applyAlignment="1" pivotButton="0" quotePrefix="0" xfId="0">
      <alignment horizontal="left" vertical="top" wrapText="1"/>
    </xf>
    <xf numFmtId="164" fontId="5" fillId="0" borderId="4" applyAlignment="1" pivotButton="0" quotePrefix="0" xfId="0">
      <alignment horizontal="left" vertical="top" wrapText="1"/>
    </xf>
    <xf numFmtId="164" fontId="5" fillId="0" borderId="1" applyAlignment="1" pivotButton="0" quotePrefix="0" xfId="0">
      <alignment horizontal="left" vertical="top" wrapText="1"/>
    </xf>
    <xf numFmtId="0" fontId="5" fillId="0" borderId="1" applyAlignment="1" pivotButton="0" quotePrefix="0" xfId="0">
      <alignment horizontal="center" vertical="top" wrapText="1"/>
    </xf>
    <xf numFmtId="0" fontId="3" fillId="3" borderId="2" applyAlignment="1" pivotButton="0" quotePrefix="0" xfId="0">
      <alignment horizontal="left"/>
    </xf>
    <xf numFmtId="0" fontId="3" fillId="3" borderId="6" applyAlignment="1" pivotButton="0" quotePrefix="0" xfId="0">
      <alignment horizontal="left"/>
    </xf>
    <xf numFmtId="0" fontId="1" fillId="0" borderId="0" applyAlignment="1" pivotButton="0" quotePrefix="0" xfId="0">
      <alignment horizontal="center"/>
    </xf>
    <xf numFmtId="0" fontId="3" fillId="3" borderId="0" applyAlignment="1" pivotButton="0" quotePrefix="0" xfId="0">
      <alignment horizontal="left"/>
    </xf>
    <xf numFmtId="0" fontId="13" fillId="0" borderId="0" applyAlignment="1" applyProtection="1" pivotButton="0" quotePrefix="0" xfId="0">
      <alignment horizontal="center"/>
      <protection locked="0" hidden="0"/>
    </xf>
    <xf numFmtId="0" fontId="14" fillId="0" borderId="0" applyAlignment="1" applyProtection="1" pivotButton="0" quotePrefix="0" xfId="0">
      <alignment horizontal="center"/>
      <protection locked="0" hidden="0"/>
    </xf>
    <xf numFmtId="0" fontId="2" fillId="0" borderId="0" applyAlignment="1" pivotButton="0" quotePrefix="0" xfId="0">
      <alignment horizontal="center" vertical="center" wrapText="1"/>
    </xf>
    <xf numFmtId="0" fontId="0" fillId="0" borderId="1" applyAlignment="1" pivotButton="0" quotePrefix="0" xfId="0">
      <alignment horizontal="left"/>
    </xf>
    <xf numFmtId="0" fontId="2" fillId="0" borderId="0" applyAlignment="1" pivotButton="0" quotePrefix="0" xfId="0">
      <alignment horizontal="left"/>
    </xf>
    <xf numFmtId="0" fontId="0" fillId="0" borderId="3" applyAlignment="1" pivotButton="0" quotePrefix="0" xfId="0">
      <alignment horizontal="left"/>
    </xf>
    <xf numFmtId="0" fontId="0" fillId="0" borderId="5" applyAlignment="1" pivotButton="0" quotePrefix="0" xfId="0">
      <alignment horizontal="left"/>
    </xf>
    <xf numFmtId="0" fontId="0" fillId="0" borderId="4" applyAlignment="1" pivotButton="0" quotePrefix="0" xfId="0">
      <alignment horizontal="left"/>
    </xf>
    <xf numFmtId="0" fontId="0" fillId="0" borderId="1" applyAlignment="1" pivotButton="0" quotePrefix="0" xfId="0">
      <alignment horizontal="center" textRotation="90"/>
    </xf>
    <xf numFmtId="0" fontId="0" fillId="0" borderId="1" applyAlignment="1" pivotButton="0" quotePrefix="0" xfId="0">
      <alignment horizontal="left" vertical="top"/>
    </xf>
    <xf numFmtId="0" fontId="12" fillId="0" borderId="1" applyAlignment="1" pivotButton="0" quotePrefix="1" xfId="0">
      <alignment horizontal="left" wrapText="1"/>
    </xf>
    <xf numFmtId="0" fontId="0" fillId="0" borderId="1" applyAlignment="1" pivotButton="0" quotePrefix="0" xfId="0">
      <alignment horizontal="center"/>
    </xf>
    <xf numFmtId="0" fontId="4" fillId="3" borderId="6" applyAlignment="1" pivotButton="0" quotePrefix="0" xfId="0">
      <alignment horizontal="left"/>
    </xf>
    <xf numFmtId="0" fontId="3" fillId="2" borderId="7" applyAlignment="1" pivotButton="0" quotePrefix="0" xfId="0">
      <alignment horizontal="center" vertical="center" wrapText="1"/>
    </xf>
    <xf numFmtId="0" fontId="3" fillId="2" borderId="8" applyAlignment="1" pivotButton="0" quotePrefix="0" xfId="0">
      <alignment horizontal="center" vertical="center" wrapText="1"/>
    </xf>
    <xf numFmtId="0" fontId="3" fillId="2" borderId="3" applyAlignment="1" pivotButton="0" quotePrefix="0" xfId="0">
      <alignment horizontal="center" vertical="center" wrapText="1"/>
    </xf>
    <xf numFmtId="0" fontId="3" fillId="2" borderId="4" applyAlignment="1" pivotButton="0" quotePrefix="0" xfId="0">
      <alignment horizontal="center" vertical="center" wrapText="1"/>
    </xf>
    <xf numFmtId="0" fontId="0" fillId="0" borderId="0" applyProtection="1" pivotButton="0" quotePrefix="0" xfId="0">
      <protection locked="0" hidden="0"/>
    </xf>
    <xf numFmtId="0" fontId="0" fillId="0" borderId="4" pivotButton="0" quotePrefix="0" xfId="0"/>
    <xf numFmtId="0" fontId="0" fillId="0" borderId="5" pivotButton="0" quotePrefix="0" xfId="0"/>
    <xf numFmtId="164" fontId="16" fillId="0" borderId="1" applyAlignment="1" pivotButton="0" quotePrefix="0" xfId="0">
      <alignment horizontal="left" vertical="top" wrapText="1"/>
    </xf>
    <xf numFmtId="0" fontId="16" fillId="0" borderId="1" applyAlignment="1" pivotButton="0" quotePrefix="0" xfId="0">
      <alignment horizontal="center" vertical="top" wrapText="1"/>
    </xf>
    <xf numFmtId="0" fontId="16" fillId="0" borderId="1" applyAlignment="1" pivotButton="0" quotePrefix="0" xfId="0">
      <alignment horizontal="left" vertical="top" wrapText="1"/>
    </xf>
    <xf numFmtId="0" fontId="16" fillId="0" borderId="1" applyAlignment="1" pivotButton="0" quotePrefix="0" xfId="0">
      <alignment horizontal="left"/>
    </xf>
    <xf numFmtId="0" fontId="0" fillId="0" borderId="6" pivotButton="0" quotePrefix="0" xfId="0"/>
    <xf numFmtId="0" fontId="16" fillId="0" borderId="3" applyAlignment="1" pivotButton="0" quotePrefix="0" xfId="0">
      <alignment horizontal="left"/>
    </xf>
    <xf numFmtId="0" fontId="0" fillId="0" borderId="2" pivotButton="0" quotePrefix="0" xfId="0"/>
    <xf numFmtId="0" fontId="16" fillId="0" borderId="1" applyAlignment="1" pivotButton="0" quotePrefix="0" xfId="0">
      <alignment horizontal="center"/>
    </xf>
    <xf numFmtId="0" fontId="17" fillId="0" borderId="1" applyAlignment="1" pivotButton="0" quotePrefix="0" xfId="0">
      <alignment horizontal="left"/>
    </xf>
    <xf numFmtId="0" fontId="0" fillId="0" borderId="8" pivotButton="0" quotePrefix="0" xfId="0"/>
    <xf numFmtId="0" fontId="0" fillId="0" borderId="12" pivotButton="0" quotePrefix="0" xfId="0"/>
    <xf numFmtId="0" fontId="18" fillId="5" borderId="13" applyAlignment="1" pivotButton="0" quotePrefix="0" xfId="0">
      <alignment horizontal="center" vertical="center" wrapText="1"/>
    </xf>
    <xf numFmtId="0" fontId="18" fillId="4" borderId="13" applyAlignment="1" pivotButton="0" quotePrefix="0" xfId="0">
      <alignment horizontal="center" vertical="center" wrapText="1"/>
    </xf>
    <xf numFmtId="0" fontId="16" fillId="4" borderId="13" applyAlignment="1" pivotButton="0" quotePrefix="1" xfId="0">
      <alignment horizontal="left" vertical="center" wrapText="1"/>
    </xf>
    <xf numFmtId="0" fontId="16" fillId="4" borderId="13" applyAlignment="1" pivotButton="0" quotePrefix="0" xfId="0">
      <alignment horizontal="left" vertical="center" wrapText="1"/>
    </xf>
    <xf numFmtId="0" fontId="19" fillId="6" borderId="13" applyAlignment="1" pivotButton="0" quotePrefix="0" xfId="0">
      <alignment horizontal="center" vertical="center" wrapText="1"/>
    </xf>
    <xf numFmtId="0" fontId="0" fillId="0" borderId="15" pivotButton="0" quotePrefix="0" xfId="0"/>
    <xf numFmtId="0" fontId="18" fillId="7" borderId="13" applyAlignment="1" pivotButton="0" quotePrefix="0" xfId="0">
      <alignment horizontal="center" vertical="center" wrapText="1"/>
    </xf>
    <xf numFmtId="0" fontId="16" fillId="7" borderId="13" applyAlignment="1" pivotButton="0" quotePrefix="0" xfId="0">
      <alignment horizontal="left" vertical="center" wrapText="1"/>
    </xf>
    <xf numFmtId="0" fontId="0" fillId="0" borderId="16" pivotButton="0" quotePrefix="0" xfId="0"/>
    <xf numFmtId="0" fontId="0" fillId="0" borderId="12" applyAlignment="1" pivotButton="0" quotePrefix="0" xfId="0">
      <alignment horizontal="left"/>
    </xf>
    <xf numFmtId="0" fontId="0" fillId="0" borderId="12" applyAlignment="1" pivotButton="0" quotePrefix="0" xfId="0">
      <alignment horizontal="left" vertical="top"/>
    </xf>
    <xf numFmtId="0" fontId="0" fillId="0" borderId="12" applyAlignment="1" pivotButton="0" quotePrefix="0" xfId="0">
      <alignment horizontal="left" vertical="top" textRotation="9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DUCHU</author>
  </authors>
  <commentList>
    <comment ref="B7" authorId="0" shapeId="0">
      <text>
        <t>DUCHU:
Use this column to group test cases. If no goup is identified, hide this column.</t>
      </text>
    </comment>
    <comment ref="C7" authorId="0" shapeId="0">
      <text>
        <t>DUCHU:
- Each test case is identified by a Test Case ID that can be referenced from other testing software and all testers regardless of access to. 
- Insert rows for new test cases</t>
      </text>
    </comment>
    <comment ref="D7" authorId="0" shapeId="0">
      <text>
        <t>DUCHU:
- [Test Description] is the actual description of the flow of events or actual condition being tested.  This individual table cell will be selected as the testing requirement
- Describe the test including:
  + Pre-Condition / where the user starts test
  + Test Description
  + Post-Condition
  + Test Input: the objects or fields the actor interacts with and the specific data values entered (or object states created) by the actor when executing this test case.
  + Any other comments / assumption</t>
      </text>
    </comment>
    <comment ref="E7" authorId="0" shapeId="0">
      <text>
        <t>DUCHU:
Ignore this column (hide the columns) if test procedures are not required</t>
      </text>
    </comment>
    <comment ref="G7" authorId="0" shapeId="0">
      <text>
        <t>DUCHU:
- Expected Results are the resulting state or data received upon completion of executing this test case</t>
      </text>
    </comment>
    <comment ref="H7" authorId="0" shapeId="0">
      <text>
        <t>DUCHU:
- An executed test case can be either:
 + Passed
 + Failed
- A test case can have Not Run status if it is not executed yet
- A test case can hae Not Completed status if its execution is not completed</t>
      </text>
    </comment>
    <comment ref="E8" authorId="0" shapeId="0">
      <text>
        <t>DUCHU:
- It is recommended to use 1 row for a step.</t>
      </text>
    </comment>
    <comment ref="F8" authorId="0" shapeId="0">
      <text>
        <t>DUCHU:
Optional</t>
      </text>
    </comment>
  </commentList>
</comments>
</file>

<file path=xl/comments/comment2.xml><?xml version="1.0" encoding="utf-8"?>
<comments xmlns="http://schemas.openxmlformats.org/spreadsheetml/2006/main">
  <authors>
    <author>DUCHU</author>
  </authors>
  <commentList>
    <comment ref="B7" authorId="0" shapeId="0">
      <text>
        <t>DUCHU:
Use this column to group test cases. If no goup is identified, hide this column.</t>
      </text>
    </comment>
    <comment ref="C7" authorId="0" shapeId="0">
      <text>
        <t>DUCHU:
- Each test case is identified by a Test Case ID that can be referenced from other testing software and all testers regardless of access to. 
- Insert rows for new test cases</t>
      </text>
    </comment>
    <comment ref="D7" authorId="0" shapeId="0">
      <text>
        <t>DUCHU:
- [Test Description] is the actual description of the flow of events or actual condition being tested.  This individual table cell will be selected as the testing requirement
- Describe the test including:
  + Pre-Condition / where the user starts test
  + Test Description
  + Post-Condition
  + Test Input: the objects or fields the actor interacts with and the specific data values entered (or object states created) by the actor when executing this test case.
  + Any other comments / assumption</t>
      </text>
    </comment>
    <comment ref="E7" authorId="0" shapeId="0">
      <text>
        <t>DUCHU:
Ignore this column (hide the columns) if test procedures are not required</t>
      </text>
    </comment>
    <comment ref="G7" authorId="0" shapeId="0">
      <text>
        <t>DUCHU:
- Expected Results are the resulting state or data received upon completion of executing this test case</t>
      </text>
    </comment>
    <comment ref="H7" authorId="0" shapeId="0">
      <text>
        <t>DUCHU:
- An executed test case can be either:
 + Passed
 + Failed
- A test case can have Not Run status if it is not executed yet
- A test case can hae Not Completed status if its execution is not completed</t>
      </text>
    </comment>
    <comment ref="E8" authorId="0" shapeId="0">
      <text>
        <t>DUCHU:
- It is recommended to use 1 row for a step.</t>
      </text>
    </comment>
    <comment ref="F8" authorId="0" shapeId="0">
      <text>
        <t>DUCHU:
Optional</t>
      </text>
    </comment>
  </commentList>
</comments>
</file>

<file path=xl/comments/comment3.xml><?xml version="1.0" encoding="utf-8"?>
<comments xmlns="http://schemas.openxmlformats.org/spreadsheetml/2006/main">
  <authors>
    <author>DUCHU</author>
  </authors>
  <commentList>
    <comment ref="B7" authorId="0" shapeId="0">
      <text>
        <t>DUCHU:
Use this column to group test cases. If no goup is identified, hide this column.</t>
      </text>
    </comment>
    <comment ref="C7" authorId="0" shapeId="0">
      <text>
        <t>DUCHU:
- Each test case is identified by a Test Case ID that can be referenced from other testing software and all testers regardless of access to. 
- Insert rows for new test cases</t>
      </text>
    </comment>
    <comment ref="D7" authorId="0" shapeId="0">
      <text>
        <t>DUCHU:
- [Test Description] is the actual description of the flow of events or actual condition being tested.  This individual table cell will be selected as the testing requirement
- Describe the test including:
  + Pre-Condition / where the user starts test
  + Test Description
  + Post-Condition
  + Test Input: the objects or fields the actor interacts with and the specific data values entered (or object states created) by the actor when executing this test case.
  + Any other comments / assumption</t>
      </text>
    </comment>
    <comment ref="E7" authorId="0" shapeId="0">
      <text>
        <t>DUCHU:
Ignore this column (hide the columns) if test procedures are not required</t>
      </text>
    </comment>
    <comment ref="G7" authorId="0" shapeId="0">
      <text>
        <t>DUCHU:
- Expected Results are the resulting state or data received upon completion of executing this test case</t>
      </text>
    </comment>
    <comment ref="H7" authorId="0" shapeId="0">
      <text>
        <t>DUCHU:
- An executed test case can be either:
 + Passed
 + Failed
- A test case can have Not Run status if it is not executed yet
- A test case can hae Not Completed status if its execution is not completed</t>
      </text>
    </comment>
    <comment ref="E8" authorId="0" shapeId="0">
      <text>
        <t>DUCHU:
- It is recommended to use 1 row for a step.</t>
      </text>
    </comment>
    <comment ref="F8" authorId="0" shapeId="0">
      <text>
        <t>DUCHU: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P36"/>
  <sheetViews>
    <sheetView topLeftCell="A9" zoomScale="125" workbookViewId="0">
      <selection activeCell="B23" sqref="B23:M23"/>
    </sheetView>
  </sheetViews>
  <sheetFormatPr baseColWidth="10" defaultColWidth="9.1640625" defaultRowHeight="13"/>
  <cols>
    <col width="1.1640625" customWidth="1" style="2" min="1" max="1"/>
    <col width="9.1640625" customWidth="1" style="2" min="2" max="16384"/>
  </cols>
  <sheetData>
    <row r="1" customFormat="1" s="4">
      <c r="A1" s="30" t="n"/>
      <c r="N1" s="34" t="inlineStr">
        <is>
          <t>TRƯỜNG ĐẠI HỌC PHENIKAA
KHOA CÔNG NGHỆ THÔNG TIN</t>
        </is>
      </c>
    </row>
    <row r="2" customFormat="1" s="4"/>
    <row r="3" customFormat="1" s="4"/>
    <row r="4" customFormat="1" s="4"/>
    <row r="5" customFormat="1" s="4"/>
    <row r="9" ht="28" customFormat="1" customHeight="1" s="5">
      <c r="A9" s="4" t="n"/>
      <c r="B9" s="4" t="n"/>
      <c r="C9" s="4" t="n"/>
      <c r="D9" s="4" t="n"/>
      <c r="E9" s="4" t="n"/>
      <c r="F9" s="32" t="inlineStr">
        <is>
          <t>HỆ THỐNG TÍNH THUẾ THU NHẬP CÁ NHÂN (PIT SYSTEM)</t>
        </is>
      </c>
      <c r="G9" s="49" t="n"/>
      <c r="H9" s="49" t="n"/>
      <c r="I9" s="49" t="n"/>
      <c r="J9" s="49" t="n"/>
      <c r="K9" s="49" t="n"/>
    </row>
    <row r="10" ht="23" customFormat="1" customHeight="1" s="6">
      <c r="A10" s="5" t="n"/>
      <c r="B10" s="5" t="n"/>
      <c r="C10" s="5" t="n"/>
      <c r="D10" s="5" t="n"/>
      <c r="E10" s="33" t="inlineStr">
        <is>
          <t>Test Cases Specification (Kiểm thử Chức năng, Bảo mật, Hiệu năng &amp; Giao diện)</t>
        </is>
      </c>
      <c r="F10" s="49" t="n"/>
      <c r="G10" s="49" t="n"/>
      <c r="H10" s="49" t="n"/>
      <c r="I10" s="49" t="n"/>
      <c r="J10" s="49" t="n"/>
      <c r="K10" s="49" t="n"/>
      <c r="L10" s="49" t="n"/>
    </row>
    <row r="11" customFormat="1" s="6">
      <c r="F11" s="7" t="n"/>
      <c r="G11" s="7" t="n"/>
      <c r="H11" s="7" t="n"/>
      <c r="I11" s="7" t="n"/>
      <c r="J11" s="7" t="n"/>
    </row>
    <row r="12" customFormat="1" s="6">
      <c r="F12" s="7" t="n"/>
      <c r="G12" s="7" t="n"/>
      <c r="H12" s="7" t="n"/>
      <c r="I12" s="7" t="n"/>
      <c r="J12" s="7" t="n"/>
    </row>
    <row r="13">
      <c r="A13" s="6" t="n"/>
      <c r="B13" s="31" t="inlineStr">
        <is>
          <t>Header</t>
        </is>
      </c>
    </row>
    <row r="14" ht="12.75" customHeight="1">
      <c r="B14" s="17" t="inlineStr">
        <is>
          <t>Date</t>
        </is>
      </c>
      <c r="C14" s="50" t="n"/>
      <c r="D14" s="17" t="inlineStr">
        <is>
          <t>Version</t>
        </is>
      </c>
      <c r="E14" s="50" t="n"/>
      <c r="F14" s="17" t="inlineStr">
        <is>
          <t>Status</t>
        </is>
      </c>
      <c r="G14" s="50" t="n"/>
      <c r="H14" s="17" t="inlineStr">
        <is>
          <t>Author</t>
        </is>
      </c>
      <c r="I14" s="51" t="n"/>
      <c r="J14" s="50" t="n"/>
      <c r="K14" s="17" t="inlineStr">
        <is>
          <t>Reviewed by</t>
        </is>
      </c>
      <c r="L14" s="51" t="n"/>
      <c r="M14" s="50" t="n"/>
      <c r="N14" s="17" t="inlineStr">
        <is>
          <t>Approved by</t>
        </is>
      </c>
      <c r="O14" s="51" t="n"/>
      <c r="P14" s="50" t="n"/>
    </row>
    <row r="15">
      <c r="B15" s="52" t="inlineStr">
        <is>
          <t>11/10/2026</t>
        </is>
      </c>
      <c r="C15" s="50" t="n"/>
      <c r="D15" s="53" t="inlineStr">
        <is>
          <t>2.0</t>
        </is>
      </c>
      <c r="E15" s="50" t="n"/>
      <c r="F15" s="54" t="inlineStr">
        <is>
          <t>Approved</t>
        </is>
      </c>
      <c r="G15" s="50" t="n"/>
      <c r="H15" s="55" t="inlineStr">
        <is>
          <t>Nhóm Kiểm Thử Phần Mềm</t>
        </is>
      </c>
      <c r="I15" s="51" t="n"/>
      <c r="J15" s="50" t="n"/>
      <c r="K15" s="55" t="inlineStr">
        <is>
          <t>Trưởng Nhóm QA</t>
        </is>
      </c>
      <c r="L15" s="51" t="n"/>
      <c r="M15" s="50" t="n"/>
      <c r="N15" s="55" t="inlineStr">
        <is>
          <t>Giảng Viên Hướng Dẫn</t>
        </is>
      </c>
      <c r="O15" s="51" t="n"/>
      <c r="P15" s="50" t="n"/>
    </row>
    <row r="16">
      <c r="B16" s="29" t="inlineStr">
        <is>
          <t>Revision History</t>
        </is>
      </c>
      <c r="C16" s="56" t="n"/>
      <c r="D16" s="56" t="n"/>
      <c r="E16" s="56" t="n"/>
      <c r="F16" s="56" t="n"/>
      <c r="G16" s="56" t="n"/>
      <c r="H16" s="56" t="n"/>
      <c r="I16" s="56" t="n"/>
      <c r="J16" s="56" t="n"/>
      <c r="K16" s="56" t="n"/>
      <c r="L16" s="56" t="n"/>
      <c r="M16" s="56" t="n"/>
    </row>
    <row r="17">
      <c r="B17" s="17" t="inlineStr">
        <is>
          <t>Date</t>
        </is>
      </c>
      <c r="C17" s="50" t="n"/>
      <c r="D17" s="17" t="inlineStr">
        <is>
          <t>Version</t>
        </is>
      </c>
      <c r="E17" s="50" t="n"/>
      <c r="F17" s="17" t="inlineStr">
        <is>
          <t>Description</t>
        </is>
      </c>
      <c r="G17" s="51" t="n"/>
      <c r="H17" s="51" t="n"/>
      <c r="I17" s="51" t="n"/>
      <c r="J17" s="50" t="n"/>
      <c r="K17" s="17" t="inlineStr">
        <is>
          <t>Author</t>
        </is>
      </c>
      <c r="L17" s="51" t="n"/>
      <c r="M17" s="50" t="n"/>
    </row>
    <row r="18">
      <c r="B18" s="52" t="inlineStr">
        <is>
          <t>01/10/2026</t>
        </is>
      </c>
      <c r="C18" s="50" t="n"/>
      <c r="D18" s="53" t="inlineStr">
        <is>
          <t>1.0</t>
        </is>
      </c>
      <c r="E18" s="50" t="n"/>
      <c r="F18" s="57" t="inlineStr">
        <is>
          <t>Khởi tạo danh sách Test Case cơ bản cho hệ thống tính thuế TNCN</t>
        </is>
      </c>
      <c r="G18" s="51" t="n"/>
      <c r="H18" s="51" t="n"/>
      <c r="I18" s="51" t="n"/>
      <c r="J18" s="51" t="n"/>
      <c r="K18" s="55" t="inlineStr">
        <is>
          <t>Nhóm Kiểm Thử</t>
        </is>
      </c>
      <c r="L18" s="51" t="n"/>
      <c r="M18" s="50" t="n"/>
    </row>
    <row r="19">
      <c r="B19" s="52" t="inlineStr">
        <is>
          <t>06/10/2026</t>
        </is>
      </c>
      <c r="C19" s="50" t="n"/>
      <c r="D19" s="54" t="inlineStr">
        <is>
          <t>1.5</t>
        </is>
      </c>
      <c r="E19" s="50" t="n"/>
      <c r="F19" s="57" t="inlineStr">
        <is>
          <t>Bổ sung Test Case biên 5 bậc thuế mới (Văn bản 112/VBHN-VPQH) &amp; Bảo mật RBAC</t>
        </is>
      </c>
      <c r="G19" s="51" t="n"/>
      <c r="H19" s="51" t="n"/>
      <c r="I19" s="51" t="n"/>
      <c r="J19" s="51" t="n"/>
      <c r="K19" s="55" t="inlineStr">
        <is>
          <t>Nhóm Kiểm Thử</t>
        </is>
      </c>
      <c r="L19" s="51" t="n"/>
      <c r="M19" s="50" t="n"/>
    </row>
    <row r="20">
      <c r="B20" s="52" t="inlineStr">
        <is>
          <t>11/10/2026</t>
        </is>
      </c>
      <c r="C20" s="50" t="n"/>
      <c r="D20" s="54" t="inlineStr">
        <is>
          <t>2.0</t>
        </is>
      </c>
      <c r="E20" s="50" t="n"/>
      <c r="F20" s="57" t="inlineStr">
        <is>
          <t>Hoàn thiện 59 System/GUI Test Cases &amp; 98 Unit Tests (Thực thi đạt 100% Passed)</t>
        </is>
      </c>
      <c r="G20" s="51" t="n"/>
      <c r="H20" s="51" t="n"/>
      <c r="I20" s="51" t="n"/>
      <c r="J20" s="51" t="n"/>
      <c r="K20" s="55" t="inlineStr">
        <is>
          <t>Nhóm Kiểm Thử</t>
        </is>
      </c>
      <c r="L20" s="51" t="n"/>
      <c r="M20" s="50" t="n"/>
    </row>
    <row r="21">
      <c r="B21" s="26" t="n"/>
      <c r="C21" s="50" t="n"/>
      <c r="D21" s="18" t="n"/>
      <c r="E21" s="50" t="n"/>
      <c r="F21" s="21" t="n"/>
      <c r="G21" s="51" t="n"/>
      <c r="H21" s="51" t="n"/>
      <c r="I21" s="51" t="n"/>
      <c r="J21" s="51" t="n"/>
      <c r="K21" s="20" t="n"/>
      <c r="L21" s="51" t="n"/>
      <c r="M21" s="50" t="n"/>
    </row>
    <row r="22">
      <c r="B22" s="26" t="n"/>
      <c r="C22" s="50" t="n"/>
      <c r="D22" s="18" t="n"/>
      <c r="E22" s="50" t="n"/>
      <c r="F22" s="21" t="n"/>
      <c r="G22" s="51" t="n"/>
      <c r="H22" s="51" t="n"/>
      <c r="I22" s="51" t="n"/>
      <c r="J22" s="51" t="n"/>
      <c r="K22" s="20" t="n"/>
      <c r="L22" s="51" t="n"/>
      <c r="M22" s="50" t="n"/>
    </row>
    <row r="23" customFormat="1" s="4">
      <c r="B23" s="28" t="inlineStr">
        <is>
          <t>References</t>
        </is>
      </c>
      <c r="C23" s="58" t="n"/>
      <c r="D23" s="58" t="n"/>
      <c r="E23" s="58" t="n"/>
      <c r="F23" s="58" t="n"/>
      <c r="G23" s="58" t="n"/>
      <c r="H23" s="58" t="n"/>
      <c r="I23" s="58" t="n"/>
      <c r="J23" s="58" t="n"/>
      <c r="K23" s="58" t="n"/>
      <c r="L23" s="58" t="n"/>
      <c r="M23" s="58" t="n"/>
    </row>
    <row r="24" customFormat="1" s="4">
      <c r="B24" s="17" t="inlineStr">
        <is>
          <t>Name</t>
        </is>
      </c>
      <c r="C24" s="51" t="n"/>
      <c r="D24" s="51" t="n"/>
      <c r="E24" s="51" t="n"/>
      <c r="F24" s="51" t="n"/>
      <c r="G24" s="51" t="n"/>
      <c r="H24" s="50" t="n"/>
      <c r="I24" s="17" t="inlineStr">
        <is>
          <t>Version</t>
        </is>
      </c>
      <c r="J24" s="50" t="n"/>
      <c r="K24" s="17" t="inlineStr">
        <is>
          <t>Path</t>
        </is>
      </c>
      <c r="L24" s="51" t="n"/>
      <c r="M24" s="50" t="n"/>
    </row>
    <row r="25" customFormat="1" s="4">
      <c r="B25" s="59" t="inlineStr">
        <is>
          <t>Tài liệu Đặc tả Yêu cầu Phần mềm (SRS - PIT System)</t>
        </is>
      </c>
      <c r="C25" s="51" t="n"/>
      <c r="D25" s="51" t="n"/>
      <c r="E25" s="51" t="n"/>
      <c r="F25" s="51" t="n"/>
      <c r="G25" s="51" t="n"/>
      <c r="H25" s="50" t="n"/>
      <c r="I25" s="54" t="inlineStr">
        <is>
          <t>1.0.0</t>
        </is>
      </c>
      <c r="J25" s="50" t="n"/>
      <c r="K25" s="54" t="inlineStr">
        <is>
          <t>template/srs_template-vi.docx</t>
        </is>
      </c>
      <c r="L25" s="51" t="n"/>
      <c r="M25" s="50" t="n"/>
    </row>
    <row r="26" customFormat="1" s="4">
      <c r="B26" s="59" t="inlineStr">
        <is>
          <t>Tài liệu Kế hoạch Kiểm thử (Test Plan - PIT System)</t>
        </is>
      </c>
      <c r="C26" s="51" t="n"/>
      <c r="D26" s="51" t="n"/>
      <c r="E26" s="51" t="n"/>
      <c r="F26" s="51" t="n"/>
      <c r="G26" s="51" t="n"/>
      <c r="H26" s="50" t="n"/>
      <c r="I26" s="54" t="inlineStr">
        <is>
          <t>2.0</t>
        </is>
      </c>
      <c r="J26" s="50" t="n"/>
      <c r="K26" s="54" t="inlineStr">
        <is>
          <t>template/Test_Plan_Template_Vn.docx</t>
        </is>
      </c>
      <c r="L26" s="51" t="n"/>
      <c r="M26" s="50" t="n"/>
    </row>
    <row r="27">
      <c r="B27" s="28" t="inlineStr">
        <is>
          <t>Execution History</t>
        </is>
      </c>
      <c r="C27" s="58" t="n"/>
      <c r="D27" s="58" t="n"/>
      <c r="E27" s="58" t="n"/>
      <c r="F27" s="58" t="n"/>
      <c r="G27" s="58" t="n"/>
      <c r="H27" s="58" t="n"/>
      <c r="I27" s="58" t="n"/>
      <c r="J27" s="58" t="n"/>
      <c r="K27" s="58" t="n"/>
      <c r="L27" s="58" t="n"/>
      <c r="M27" s="58" t="n"/>
    </row>
    <row r="28">
      <c r="B28" s="17" t="inlineStr">
        <is>
          <t>Date of Execution</t>
        </is>
      </c>
      <c r="C28" s="50" t="n"/>
      <c r="D28" s="17" t="inlineStr">
        <is>
          <t>Executed by</t>
        </is>
      </c>
      <c r="E28" s="51" t="n"/>
      <c r="F28" s="50" t="n"/>
      <c r="G28" s="17" t="inlineStr">
        <is>
          <t>Build Under Test</t>
        </is>
      </c>
      <c r="H28" s="50" t="n"/>
    </row>
    <row r="29">
      <c r="B29" s="52" t="inlineStr">
        <is>
          <t>09/10/2026</t>
        </is>
      </c>
      <c r="C29" s="50" t="n"/>
      <c r="D29" s="55" t="inlineStr">
        <is>
          <t>Nhóm Kiểm Thử Phần Mềm</t>
        </is>
      </c>
      <c r="E29" s="51" t="n"/>
      <c r="F29" s="50" t="n"/>
      <c r="G29" s="54" t="inlineStr">
        <is>
          <t>Build v1.0.0 (Spring Boot 3.2.1 - Initial Test Run)</t>
        </is>
      </c>
      <c r="H29" s="50" t="n"/>
    </row>
    <row r="30">
      <c r="B30" s="52" t="inlineStr">
        <is>
          <t>11/10/2026</t>
        </is>
      </c>
      <c r="C30" s="50" t="n"/>
      <c r="D30" s="55" t="inlineStr">
        <is>
          <t>Nhóm Kiểm Thử Phần Mềm</t>
        </is>
      </c>
      <c r="E30" s="51" t="n"/>
      <c r="F30" s="50" t="n"/>
      <c r="G30" s="54" t="inlineStr">
        <is>
          <t>Build v1.0.0-RELEASE (Final Regression &amp; JaCoCo 90%+)</t>
        </is>
      </c>
      <c r="H30" s="50" t="n"/>
    </row>
    <row r="31">
      <c r="B31" s="26" t="n"/>
      <c r="C31" s="50" t="n"/>
      <c r="D31" s="20" t="n"/>
      <c r="E31" s="51" t="n"/>
      <c r="F31" s="50" t="n"/>
      <c r="G31" s="18" t="n"/>
      <c r="H31" s="50" t="n"/>
    </row>
    <row r="32">
      <c r="B32" s="26" t="n"/>
      <c r="C32" s="50" t="n"/>
      <c r="D32" s="20" t="n"/>
      <c r="E32" s="51" t="n"/>
      <c r="F32" s="50" t="n"/>
      <c r="G32" s="18" t="n"/>
      <c r="H32" s="50" t="n"/>
    </row>
    <row r="33">
      <c r="B33" s="26" t="n"/>
      <c r="C33" s="50" t="n"/>
      <c r="D33" s="20" t="n"/>
      <c r="E33" s="51" t="n"/>
      <c r="F33" s="50" t="n"/>
      <c r="G33" s="18" t="n"/>
      <c r="H33" s="50" t="n"/>
    </row>
    <row r="34">
      <c r="B34" s="26" t="n"/>
      <c r="C34" s="50" t="n"/>
      <c r="D34" s="20" t="n"/>
      <c r="E34" s="51" t="n"/>
      <c r="F34" s="50" t="n"/>
      <c r="G34" s="18" t="n"/>
      <c r="H34" s="50" t="n"/>
    </row>
    <row r="35">
      <c r="B35" s="1" t="inlineStr"/>
    </row>
    <row r="36">
      <c r="B36" s="1" t="inlineStr"/>
    </row>
  </sheetData>
  <mergeCells count="74">
    <mergeCell ref="D20:E20"/>
    <mergeCell ref="D19:E19"/>
    <mergeCell ref="K22:M22"/>
    <mergeCell ref="D32:F32"/>
    <mergeCell ref="N14:P14"/>
    <mergeCell ref="B23:M23"/>
    <mergeCell ref="F19:J19"/>
    <mergeCell ref="B22:C22"/>
    <mergeCell ref="B24:H24"/>
    <mergeCell ref="D22:E22"/>
    <mergeCell ref="B31:C31"/>
    <mergeCell ref="B18:C18"/>
    <mergeCell ref="I26:J26"/>
    <mergeCell ref="B13:P13"/>
    <mergeCell ref="D21:E21"/>
    <mergeCell ref="B21:C21"/>
    <mergeCell ref="D28:F28"/>
    <mergeCell ref="F21:J21"/>
    <mergeCell ref="B26:H26"/>
    <mergeCell ref="F15:G15"/>
    <mergeCell ref="F20:J20"/>
    <mergeCell ref="K14:M14"/>
    <mergeCell ref="I25:J25"/>
    <mergeCell ref="A1:E5"/>
    <mergeCell ref="N1:P5"/>
    <mergeCell ref="E10:L10"/>
    <mergeCell ref="F18:J18"/>
    <mergeCell ref="F9:K9"/>
    <mergeCell ref="B14:C14"/>
    <mergeCell ref="G28:H28"/>
    <mergeCell ref="B17:C17"/>
    <mergeCell ref="D30:F30"/>
    <mergeCell ref="B25:H25"/>
    <mergeCell ref="K17:M17"/>
    <mergeCell ref="D17:E17"/>
    <mergeCell ref="D33:F33"/>
    <mergeCell ref="H15:J15"/>
    <mergeCell ref="N15:P15"/>
    <mergeCell ref="F17:J17"/>
    <mergeCell ref="G34:H34"/>
    <mergeCell ref="K19:M19"/>
    <mergeCell ref="D29:F29"/>
    <mergeCell ref="B29:C29"/>
    <mergeCell ref="G30:H30"/>
    <mergeCell ref="H14:J14"/>
    <mergeCell ref="B19:C19"/>
    <mergeCell ref="B34:C34"/>
    <mergeCell ref="G33:H33"/>
    <mergeCell ref="I24:J24"/>
    <mergeCell ref="B28:C28"/>
    <mergeCell ref="K18:M18"/>
    <mergeCell ref="D18:E18"/>
    <mergeCell ref="F22:J22"/>
    <mergeCell ref="K25:M25"/>
    <mergeCell ref="D34:F34"/>
    <mergeCell ref="K15:M15"/>
    <mergeCell ref="G29:H29"/>
    <mergeCell ref="B16:M16"/>
    <mergeCell ref="K24:M24"/>
    <mergeCell ref="B30:C30"/>
    <mergeCell ref="B15:C15"/>
    <mergeCell ref="B33:C33"/>
    <mergeCell ref="D15:E15"/>
    <mergeCell ref="D31:F31"/>
    <mergeCell ref="B20:C20"/>
    <mergeCell ref="G32:H32"/>
    <mergeCell ref="K26:M26"/>
    <mergeCell ref="K21:M21"/>
    <mergeCell ref="D14:E14"/>
    <mergeCell ref="B32:C32"/>
    <mergeCell ref="F14:G14"/>
    <mergeCell ref="B27:M27"/>
    <mergeCell ref="K20:M20"/>
    <mergeCell ref="G31:H31"/>
  </mergeCells>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O31"/>
  <sheetViews>
    <sheetView workbookViewId="0">
      <selection activeCell="C44" sqref="C44"/>
    </sheetView>
  </sheetViews>
  <sheetFormatPr baseColWidth="10" defaultColWidth="8.83203125" defaultRowHeight="13"/>
  <cols>
    <col width="0.83203125" customWidth="1" min="1" max="1"/>
  </cols>
  <sheetData>
    <row r="1">
      <c r="B1" s="36" t="inlineStr">
        <is>
          <t>Note: This page is used for description of any Definition and/or Abbreviation for the project Test Cases.</t>
        </is>
      </c>
      <c r="L1" s="1" t="n"/>
      <c r="M1" s="1" t="n"/>
      <c r="N1" s="1" t="n"/>
    </row>
    <row r="2">
      <c r="B2" s="36" t="inlineStr">
        <is>
          <t>The page can be maintained in one Test Case spreadsheet only (The Generic Test Case spreadsheet is recommended to contain this page)</t>
        </is>
      </c>
    </row>
    <row r="4">
      <c r="A4" s="31" t="inlineStr">
        <is>
          <t>Definition</t>
        </is>
      </c>
    </row>
    <row r="5">
      <c r="B5" s="17" t="inlineStr">
        <is>
          <t>Terms</t>
        </is>
      </c>
      <c r="C5" s="51" t="n"/>
      <c r="D5" s="50" t="n"/>
      <c r="E5" s="17" t="inlineStr">
        <is>
          <t>Description</t>
        </is>
      </c>
      <c r="F5" s="51" t="n"/>
      <c r="G5" s="51" t="n"/>
      <c r="H5" s="51" t="n"/>
      <c r="I5" s="51" t="n"/>
      <c r="J5" s="51" t="n"/>
      <c r="K5" s="51" t="n"/>
      <c r="L5" s="51" t="n"/>
      <c r="M5" s="51" t="n"/>
      <c r="N5" s="51" t="n"/>
      <c r="O5" s="50" t="n"/>
    </row>
    <row r="6">
      <c r="B6" s="60" t="inlineStr">
        <is>
          <t>PIT System</t>
        </is>
      </c>
      <c r="C6" s="51" t="n"/>
      <c r="D6" s="50" t="n"/>
      <c r="E6" s="55" t="inlineStr">
        <is>
          <t>Hệ thống phần mềm Web quản lý kê khai, tính toán tự động và nộp thuế thu nhập cá nhân trực tuyến.</t>
        </is>
      </c>
      <c r="F6" s="51" t="n"/>
      <c r="G6" s="51" t="n"/>
      <c r="H6" s="51" t="n"/>
      <c r="I6" s="51" t="n"/>
      <c r="J6" s="51" t="n"/>
      <c r="K6" s="51" t="n"/>
      <c r="L6" s="51" t="n"/>
      <c r="M6" s="51" t="n"/>
      <c r="N6" s="51" t="n"/>
      <c r="O6" s="50" t="n"/>
    </row>
    <row r="7">
      <c r="B7" s="60" t="inlineStr">
        <is>
          <t>Thu nhập chịu thuế (TNCT)</t>
        </is>
      </c>
      <c r="C7" s="51" t="n"/>
      <c r="D7" s="50" t="n"/>
      <c r="E7" s="55" t="inlineStr">
        <is>
          <t>Tổng thu nhập từ tiền lương, tiền thưởng và thu nhập chịu thuế khác trừ đi các khoản thu nhập được miễn thuế.</t>
        </is>
      </c>
      <c r="F7" s="51" t="n"/>
      <c r="G7" s="51" t="n"/>
      <c r="H7" s="51" t="n"/>
      <c r="I7" s="51" t="n"/>
      <c r="J7" s="51" t="n"/>
      <c r="K7" s="51" t="n"/>
      <c r="L7" s="51" t="n"/>
      <c r="M7" s="51" t="n"/>
      <c r="N7" s="51" t="n"/>
      <c r="O7" s="50" t="n"/>
    </row>
    <row r="8">
      <c r="B8" s="60" t="inlineStr">
        <is>
          <t>Thu nhập tính thuế (TNTT)</t>
        </is>
      </c>
      <c r="C8" s="51" t="n"/>
      <c r="D8" s="50" t="n"/>
      <c r="E8" s="55" t="inlineStr">
        <is>
          <t>Phần thu nhập dùng làm căn cứ áp biểu thuế lũy tiến 5 bậc (= TNCT - Tổng các khoản giảm trừ).</t>
        </is>
      </c>
      <c r="F8" s="51" t="n"/>
      <c r="G8" s="51" t="n"/>
      <c r="H8" s="51" t="n"/>
      <c r="I8" s="51" t="n"/>
      <c r="J8" s="51" t="n"/>
      <c r="K8" s="51" t="n"/>
      <c r="L8" s="51" t="n"/>
      <c r="M8" s="51" t="n"/>
      <c r="N8" s="51" t="n"/>
      <c r="O8" s="50" t="n"/>
    </row>
    <row r="9">
      <c r="B9" s="60" t="inlineStr">
        <is>
          <t>Giảm trừ gia cảnh (GTGC)</t>
        </is>
      </c>
      <c r="C9" s="51" t="n"/>
      <c r="D9" s="50" t="n"/>
      <c r="E9" s="55" t="inlineStr">
        <is>
          <t>Khoản tiền trừ vào TNCT trước khi tính thuế: Bản thân 15.500.000đ/tháng; Người phụ thuộc 6.200.000đ/người/tháng.</t>
        </is>
      </c>
      <c r="F9" s="51" t="n"/>
      <c r="G9" s="51" t="n"/>
      <c r="H9" s="51" t="n"/>
      <c r="I9" s="51" t="n"/>
      <c r="J9" s="51" t="n"/>
      <c r="K9" s="51" t="n"/>
      <c r="L9" s="51" t="n"/>
      <c r="M9" s="51" t="n"/>
      <c r="N9" s="51" t="n"/>
      <c r="O9" s="50" t="n"/>
    </row>
    <row r="10">
      <c r="B10" s="60" t="inlineStr">
        <is>
          <t>Bảo hiểm bắt buộc</t>
        </is>
      </c>
      <c r="C10" s="51" t="n"/>
      <c r="D10" s="50" t="n"/>
      <c r="E10" s="55" t="inlineStr">
        <is>
          <t>Các khoản BHXH (8%), BHYT (1.5%), BHTN (1%) = 10.5% tính trên lương chính (tối đa trần 46.800.000đ/tháng).</t>
        </is>
      </c>
      <c r="F10" s="51" t="n"/>
      <c r="G10" s="51" t="n"/>
      <c r="H10" s="51" t="n"/>
      <c r="I10" s="51" t="n"/>
      <c r="J10" s="51" t="n"/>
      <c r="K10" s="51" t="n"/>
      <c r="L10" s="51" t="n"/>
      <c r="M10" s="51" t="n"/>
      <c r="N10" s="51" t="n"/>
      <c r="O10" s="50" t="n"/>
    </row>
    <row r="11">
      <c r="B11" s="60" t="inlineStr">
        <is>
          <t>Biểu thuế lũy tiến 5 bậc</t>
        </is>
      </c>
      <c r="C11" s="51" t="n"/>
      <c r="D11" s="50" t="n"/>
      <c r="E11" s="55" t="inlineStr">
        <is>
          <t>Phương pháp tính thuế chia TNTT thành 5 bậc (Đến 10tr: 5%, &gt;10-30tr: 10%, &gt;30-60tr: 20%, &gt;60-100tr: 30%, &gt;100tr: 35%).</t>
        </is>
      </c>
      <c r="F11" s="51" t="n"/>
      <c r="G11" s="51" t="n"/>
      <c r="H11" s="51" t="n"/>
      <c r="I11" s="51" t="n"/>
      <c r="J11" s="51" t="n"/>
      <c r="K11" s="51" t="n"/>
      <c r="L11" s="51" t="n"/>
      <c r="M11" s="51" t="n"/>
      <c r="N11" s="51" t="n"/>
      <c r="O11" s="50" t="n"/>
    </row>
    <row r="12">
      <c r="B12" s="60" t="inlineStr">
        <is>
          <t>Tờ khai thuế (Tax Declaration)</t>
        </is>
      </c>
      <c r="C12" s="51" t="n"/>
      <c r="D12" s="50" t="n"/>
      <c r="E12" s="55" t="inlineStr">
        <is>
          <t>Bản kê khai thu nhập và số thuế phải nộp của người nộp thuế theo kỳ tháng (1-12) hoặc quyết toán năm (0).</t>
        </is>
      </c>
      <c r="F12" s="51" t="n"/>
      <c r="G12" s="51" t="n"/>
      <c r="H12" s="51" t="n"/>
      <c r="I12" s="51" t="n"/>
      <c r="J12" s="51" t="n"/>
      <c r="K12" s="51" t="n"/>
      <c r="L12" s="51" t="n"/>
      <c r="M12" s="51" t="n"/>
      <c r="N12" s="51" t="n"/>
      <c r="O12" s="50" t="n"/>
    </row>
    <row r="13">
      <c r="B13" s="60" t="inlineStr">
        <is>
          <t>Biên lai điện tử (Payment Receipt)</t>
        </is>
      </c>
      <c r="C13" s="51" t="n"/>
      <c r="D13" s="50" t="n"/>
      <c r="E13" s="55" t="inlineStr">
        <is>
          <t>Chứng từ điện tử (Giấy nộp tiền vào NSNN) xác nhận người nộp thuế đã hoàn thành đóng thuế trực tuyến.</t>
        </is>
      </c>
      <c r="F13" s="51" t="n"/>
      <c r="G13" s="51" t="n"/>
      <c r="H13" s="51" t="n"/>
      <c r="I13" s="51" t="n"/>
      <c r="J13" s="51" t="n"/>
      <c r="K13" s="51" t="n"/>
      <c r="L13" s="51" t="n"/>
      <c r="M13" s="51" t="n"/>
      <c r="N13" s="51" t="n"/>
      <c r="O13" s="50" t="n"/>
    </row>
    <row r="14">
      <c r="B14" s="60" t="inlineStr">
        <is>
          <t>Kiểm thử giá trị biên (BVA)</t>
        </is>
      </c>
      <c r="C14" s="51" t="n"/>
      <c r="D14" s="50" t="n"/>
      <c r="E14" s="55" t="inlineStr">
        <is>
          <t>Kỹ thuật thiết kế ca kiểm thử tập trung vào các giá trị biên của từng bậc thuế (0đ, 10tr, 30tr, 60tr, 100tr).</t>
        </is>
      </c>
      <c r="F14" s="51" t="n"/>
      <c r="G14" s="51" t="n"/>
      <c r="H14" s="51" t="n"/>
      <c r="I14" s="51" t="n"/>
      <c r="J14" s="51" t="n"/>
      <c r="K14" s="51" t="n"/>
      <c r="L14" s="51" t="n"/>
      <c r="M14" s="51" t="n"/>
      <c r="N14" s="51" t="n"/>
      <c r="O14" s="50" t="n"/>
    </row>
    <row r="15">
      <c r="B15" s="60" t="inlineStr">
        <is>
          <t>Phân vùng tương đương (EP)</t>
        </is>
      </c>
      <c r="C15" s="51" t="n"/>
      <c r="D15" s="50" t="n"/>
      <c r="E15" s="55" t="inlineStr">
        <is>
          <t>Kỹ thuật chia miền dữ liệu đầu vào thành các vùng hợp lệ và không hợp lệ để tối ưu số lượng ca kiểm thử.</t>
        </is>
      </c>
      <c r="F15" s="51" t="n"/>
      <c r="G15" s="51" t="n"/>
      <c r="H15" s="51" t="n"/>
      <c r="I15" s="51" t="n"/>
      <c r="J15" s="51" t="n"/>
      <c r="K15" s="51" t="n"/>
      <c r="L15" s="51" t="n"/>
      <c r="M15" s="51" t="n"/>
      <c r="N15" s="51" t="n"/>
      <c r="O15" s="50" t="n"/>
    </row>
    <row r="16">
      <c r="B16" s="28" t="inlineStr">
        <is>
          <t>Abbreviation</t>
        </is>
      </c>
      <c r="C16" s="58" t="n"/>
      <c r="D16" s="58" t="n"/>
      <c r="E16" s="58" t="n"/>
      <c r="F16" s="58" t="n"/>
      <c r="G16" s="58" t="n"/>
      <c r="H16" s="58" t="n"/>
      <c r="I16" s="58" t="n"/>
      <c r="J16" s="58" t="n"/>
      <c r="K16" s="58" t="n"/>
      <c r="L16" s="58" t="n"/>
      <c r="M16" s="58" t="n"/>
      <c r="N16" s="58" t="n"/>
      <c r="O16" s="58" t="n"/>
    </row>
    <row r="17" ht="12.75" customHeight="1">
      <c r="B17" s="17" t="inlineStr">
        <is>
          <t>Abbreviation</t>
        </is>
      </c>
      <c r="C17" s="51" t="n"/>
      <c r="D17" s="50" t="n"/>
      <c r="E17" s="17" t="inlineStr">
        <is>
          <t>Description</t>
        </is>
      </c>
      <c r="F17" s="51" t="n"/>
      <c r="G17" s="51" t="n"/>
      <c r="H17" s="51" t="n"/>
      <c r="I17" s="51" t="n"/>
      <c r="J17" s="51" t="n"/>
      <c r="K17" s="51" t="n"/>
      <c r="L17" s="51" t="n"/>
      <c r="M17" s="51" t="n"/>
      <c r="N17" s="51" t="n"/>
      <c r="O17" s="50" t="n"/>
    </row>
    <row r="18">
      <c r="B18" s="60" t="inlineStr">
        <is>
          <t>PIT / TNCN</t>
        </is>
      </c>
      <c r="C18" s="51" t="n"/>
      <c r="D18" s="50" t="n"/>
      <c r="E18" s="55" t="inlineStr">
        <is>
          <t>Personal Income Tax - Thuế thu nhập cá nhân</t>
        </is>
      </c>
      <c r="F18" s="51" t="n"/>
      <c r="G18" s="51" t="n"/>
      <c r="H18" s="51" t="n"/>
      <c r="I18" s="51" t="n"/>
      <c r="J18" s="51" t="n"/>
      <c r="K18" s="51" t="n"/>
      <c r="L18" s="51" t="n"/>
      <c r="M18" s="51" t="n"/>
      <c r="N18" s="51" t="n"/>
      <c r="O18" s="50" t="n"/>
    </row>
    <row r="19">
      <c r="B19" s="60" t="inlineStr">
        <is>
          <t>TNCT</t>
        </is>
      </c>
      <c r="C19" s="51" t="n"/>
      <c r="D19" s="50" t="n"/>
      <c r="E19" s="55" t="inlineStr">
        <is>
          <t>Thu nhập chịu thuế (Taxable Income)</t>
        </is>
      </c>
      <c r="F19" s="51" t="n"/>
      <c r="G19" s="51" t="n"/>
      <c r="H19" s="51" t="n"/>
      <c r="I19" s="51" t="n"/>
      <c r="J19" s="51" t="n"/>
      <c r="K19" s="51" t="n"/>
      <c r="L19" s="51" t="n"/>
      <c r="M19" s="51" t="n"/>
      <c r="N19" s="51" t="n"/>
      <c r="O19" s="50" t="n"/>
    </row>
    <row r="20">
      <c r="B20" s="60" t="inlineStr">
        <is>
          <t>TNTT</t>
        </is>
      </c>
      <c r="C20" s="51" t="n"/>
      <c r="D20" s="50" t="n"/>
      <c r="E20" s="55" t="inlineStr">
        <is>
          <t>Thu nhập tính thuế (Assessed Income)</t>
        </is>
      </c>
      <c r="F20" s="51" t="n"/>
      <c r="G20" s="51" t="n"/>
      <c r="H20" s="51" t="n"/>
      <c r="I20" s="51" t="n"/>
      <c r="J20" s="51" t="n"/>
      <c r="K20" s="51" t="n"/>
      <c r="L20" s="51" t="n"/>
      <c r="M20" s="51" t="n"/>
      <c r="N20" s="51" t="n"/>
      <c r="O20" s="50" t="n"/>
    </row>
    <row r="21">
      <c r="B21" s="60" t="inlineStr">
        <is>
          <t>GTGC</t>
        </is>
      </c>
      <c r="C21" s="51" t="n"/>
      <c r="D21" s="50" t="n"/>
      <c r="E21" s="55" t="inlineStr">
        <is>
          <t>Giảm trừ gia cảnh (Family Deductions)</t>
        </is>
      </c>
      <c r="F21" s="51" t="n"/>
      <c r="G21" s="51" t="n"/>
      <c r="H21" s="51" t="n"/>
      <c r="I21" s="51" t="n"/>
      <c r="J21" s="51" t="n"/>
      <c r="K21" s="51" t="n"/>
      <c r="L21" s="51" t="n"/>
      <c r="M21" s="51" t="n"/>
      <c r="N21" s="51" t="n"/>
      <c r="O21" s="50" t="n"/>
    </row>
    <row r="22">
      <c r="B22" s="60" t="inlineStr">
        <is>
          <t>NPT</t>
        </is>
      </c>
      <c r="C22" s="51" t="n"/>
      <c r="D22" s="50" t="n"/>
      <c r="E22" s="55" t="inlineStr">
        <is>
          <t>Người phụ thuộc (Dependent)</t>
        </is>
      </c>
      <c r="F22" s="51" t="n"/>
      <c r="G22" s="51" t="n"/>
      <c r="H22" s="51" t="n"/>
      <c r="I22" s="51" t="n"/>
      <c r="J22" s="51" t="n"/>
      <c r="K22" s="51" t="n"/>
      <c r="L22" s="51" t="n"/>
      <c r="M22" s="51" t="n"/>
      <c r="N22" s="51" t="n"/>
      <c r="O22" s="50" t="n"/>
    </row>
    <row r="23">
      <c r="B23" s="60" t="inlineStr">
        <is>
          <t>MST</t>
        </is>
      </c>
      <c r="C23" s="51" t="n"/>
      <c r="D23" s="50" t="n"/>
      <c r="E23" s="55" t="inlineStr">
        <is>
          <t>Mã số thuế cá nhân (10 chữ số)</t>
        </is>
      </c>
      <c r="F23" s="51" t="n"/>
      <c r="G23" s="51" t="n"/>
      <c r="H23" s="51" t="n"/>
      <c r="I23" s="51" t="n"/>
      <c r="J23" s="51" t="n"/>
      <c r="K23" s="51" t="n"/>
      <c r="L23" s="51" t="n"/>
      <c r="M23" s="51" t="n"/>
      <c r="N23" s="51" t="n"/>
      <c r="O23" s="50" t="n"/>
    </row>
    <row r="24">
      <c r="B24" s="60" t="inlineStr">
        <is>
          <t>CCCD</t>
        </is>
      </c>
      <c r="C24" s="51" t="n"/>
      <c r="D24" s="50" t="n"/>
      <c r="E24" s="55" t="inlineStr">
        <is>
          <t>Căn cước công dân gắn chip (12 chữ số)</t>
        </is>
      </c>
      <c r="F24" s="51" t="n"/>
      <c r="G24" s="51" t="n"/>
      <c r="H24" s="51" t="n"/>
      <c r="I24" s="51" t="n"/>
      <c r="J24" s="51" t="n"/>
      <c r="K24" s="51" t="n"/>
      <c r="L24" s="51" t="n"/>
      <c r="M24" s="51" t="n"/>
      <c r="N24" s="51" t="n"/>
      <c r="O24" s="50" t="n"/>
    </row>
    <row r="25">
      <c r="B25" s="60" t="inlineStr">
        <is>
          <t>BHXH / BHYT / BHTN</t>
        </is>
      </c>
      <c r="C25" s="51" t="n"/>
      <c r="D25" s="50" t="n"/>
      <c r="E25" s="55" t="inlineStr">
        <is>
          <t>Bảo hiểm xã hội (8%) / Bảo hiểm y tế (1.5%) / Bảo hiểm thất nghiệp (1%)</t>
        </is>
      </c>
      <c r="F25" s="51" t="n"/>
      <c r="G25" s="51" t="n"/>
      <c r="H25" s="51" t="n"/>
      <c r="I25" s="51" t="n"/>
      <c r="J25" s="51" t="n"/>
      <c r="K25" s="51" t="n"/>
      <c r="L25" s="51" t="n"/>
      <c r="M25" s="51" t="n"/>
      <c r="N25" s="51" t="n"/>
      <c r="O25" s="50" t="n"/>
    </row>
    <row r="26">
      <c r="B26" s="60" t="inlineStr">
        <is>
          <t>KBNN / NSNN</t>
        </is>
      </c>
      <c r="C26" s="51" t="n"/>
      <c r="D26" s="50" t="n"/>
      <c r="E26" s="55" t="inlineStr">
        <is>
          <t>Kho bạc Nhà nước / Ngân sách Nhà nước</t>
        </is>
      </c>
      <c r="F26" s="51" t="n"/>
      <c r="G26" s="51" t="n"/>
      <c r="H26" s="51" t="n"/>
      <c r="I26" s="51" t="n"/>
      <c r="J26" s="51" t="n"/>
      <c r="K26" s="51" t="n"/>
      <c r="L26" s="51" t="n"/>
      <c r="M26" s="51" t="n"/>
      <c r="N26" s="51" t="n"/>
      <c r="O26" s="50" t="n"/>
    </row>
    <row r="27">
      <c r="B27" s="60" t="inlineStr">
        <is>
          <t>SRS</t>
        </is>
      </c>
      <c r="C27" s="51" t="n"/>
      <c r="D27" s="50" t="n"/>
      <c r="E27" s="55" t="inlineStr">
        <is>
          <t>Software Requirements Specification - Tài liệu đặc tả yêu cầu phần mềm</t>
        </is>
      </c>
      <c r="F27" s="51" t="n"/>
      <c r="G27" s="51" t="n"/>
      <c r="H27" s="51" t="n"/>
      <c r="I27" s="51" t="n"/>
      <c r="J27" s="51" t="n"/>
      <c r="K27" s="51" t="n"/>
      <c r="L27" s="51" t="n"/>
      <c r="M27" s="51" t="n"/>
      <c r="N27" s="51" t="n"/>
      <c r="O27" s="50" t="n"/>
    </row>
    <row r="28">
      <c r="B28" s="60" t="inlineStr">
        <is>
          <t>BVA / EP</t>
        </is>
      </c>
      <c r="C28" s="51" t="n"/>
      <c r="D28" s="50" t="n"/>
      <c r="E28" s="55" t="inlineStr">
        <is>
          <t>Boundary Value Analysis (Phân tích giá trị biên) / Equivalence Partitioning (Phân vùng tương đương)</t>
        </is>
      </c>
      <c r="F28" s="51" t="n"/>
      <c r="G28" s="51" t="n"/>
      <c r="H28" s="51" t="n"/>
      <c r="I28" s="51" t="n"/>
      <c r="J28" s="51" t="n"/>
      <c r="K28" s="51" t="n"/>
      <c r="L28" s="51" t="n"/>
      <c r="M28" s="51" t="n"/>
      <c r="N28" s="51" t="n"/>
      <c r="O28" s="50" t="n"/>
    </row>
    <row r="29">
      <c r="B29" s="60" t="inlineStr">
        <is>
          <t>RBAC</t>
        </is>
      </c>
      <c r="C29" s="51" t="n"/>
      <c r="D29" s="50" t="n"/>
      <c r="E29" s="55" t="inlineStr">
        <is>
          <t>Role-Based Access Control - Kiểm soát truy cập dựa trên vai trò (Guest / Taxpayer / Admin)</t>
        </is>
      </c>
      <c r="F29" s="51" t="n"/>
      <c r="G29" s="51" t="n"/>
      <c r="H29" s="51" t="n"/>
      <c r="I29" s="51" t="n"/>
      <c r="J29" s="51" t="n"/>
      <c r="K29" s="51" t="n"/>
      <c r="L29" s="51" t="n"/>
      <c r="M29" s="51" t="n"/>
      <c r="N29" s="51" t="n"/>
      <c r="O29" s="50" t="n"/>
    </row>
    <row r="30">
      <c r="B30" s="60" t="inlineStr">
        <is>
          <t>CSV (UTF-8 BOM)</t>
        </is>
      </c>
      <c r="C30" s="51" t="n"/>
      <c r="D30" s="50" t="n"/>
      <c r="E30" s="55" t="inlineStr">
        <is>
          <t>Comma-Separated Values có Byte Order Mark giúp Microsoft Excel hiển thị chuẩn tiếng Việt</t>
        </is>
      </c>
      <c r="F30" s="51" t="n"/>
      <c r="G30" s="51" t="n"/>
      <c r="H30" s="51" t="n"/>
      <c r="I30" s="51" t="n"/>
      <c r="J30" s="51" t="n"/>
      <c r="K30" s="51" t="n"/>
      <c r="L30" s="51" t="n"/>
      <c r="M30" s="51" t="n"/>
      <c r="N30" s="51" t="n"/>
      <c r="O30" s="50" t="n"/>
    </row>
    <row r="31">
      <c r="B31" s="60" t="inlineStr">
        <is>
          <t>POM / JUnit 5</t>
        </is>
      </c>
      <c r="C31" s="51" t="n"/>
      <c r="D31" s="50" t="n"/>
      <c r="E31" s="55" t="inlineStr">
        <is>
          <t>Page Object Model / Framework kiểm thử tự động cho ngôn ngữ Java</t>
        </is>
      </c>
      <c r="F31" s="51" t="n"/>
      <c r="G31" s="51" t="n"/>
      <c r="H31" s="51" t="n"/>
      <c r="I31" s="51" t="n"/>
      <c r="J31" s="51" t="n"/>
      <c r="K31" s="51" t="n"/>
      <c r="L31" s="51" t="n"/>
      <c r="M31" s="51" t="n"/>
      <c r="N31" s="51" t="n"/>
      <c r="O31" s="50" t="n"/>
    </row>
  </sheetData>
  <mergeCells count="56">
    <mergeCell ref="B11:D11"/>
    <mergeCell ref="B14:D14"/>
    <mergeCell ref="E12:O12"/>
    <mergeCell ref="B23:D23"/>
    <mergeCell ref="E21:O21"/>
    <mergeCell ref="B8:D8"/>
    <mergeCell ref="B16:O16"/>
    <mergeCell ref="B17:D17"/>
    <mergeCell ref="B13:D13"/>
    <mergeCell ref="E24:O24"/>
    <mergeCell ref="E5:O5"/>
    <mergeCell ref="B29:D29"/>
    <mergeCell ref="E14:O14"/>
    <mergeCell ref="E23:O23"/>
    <mergeCell ref="E17:O17"/>
    <mergeCell ref="B10:D10"/>
    <mergeCell ref="E8:O8"/>
    <mergeCell ref="B28:D28"/>
    <mergeCell ref="B19:D19"/>
    <mergeCell ref="E20:O20"/>
    <mergeCell ref="E29:O29"/>
    <mergeCell ref="B9:D9"/>
    <mergeCell ref="E19:O19"/>
    <mergeCell ref="B30:D30"/>
    <mergeCell ref="E10:O10"/>
    <mergeCell ref="E28:O28"/>
    <mergeCell ref="B15:D15"/>
    <mergeCell ref="E13:O13"/>
    <mergeCell ref="B6:D6"/>
    <mergeCell ref="B24:D24"/>
    <mergeCell ref="A4:O4"/>
    <mergeCell ref="B20:D20"/>
    <mergeCell ref="E9:O9"/>
    <mergeCell ref="E31:O31"/>
    <mergeCell ref="B5:D5"/>
    <mergeCell ref="E6:O6"/>
    <mergeCell ref="E30:O30"/>
    <mergeCell ref="E15:O15"/>
    <mergeCell ref="B26:D26"/>
    <mergeCell ref="E11:O11"/>
    <mergeCell ref="E27:O27"/>
    <mergeCell ref="B7:D7"/>
    <mergeCell ref="B25:D25"/>
    <mergeCell ref="B2:N2"/>
    <mergeCell ref="E26:O26"/>
    <mergeCell ref="B1:K1"/>
    <mergeCell ref="B31:D31"/>
    <mergeCell ref="B22:D22"/>
    <mergeCell ref="E7:O7"/>
    <mergeCell ref="E25:O25"/>
    <mergeCell ref="B27:D27"/>
    <mergeCell ref="B18:D18"/>
    <mergeCell ref="B21:D21"/>
    <mergeCell ref="B12:D12"/>
    <mergeCell ref="E22:O22"/>
    <mergeCell ref="E18:O18"/>
  </mergeCells>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H49"/>
  <sheetViews>
    <sheetView topLeftCell="B1" workbookViewId="0">
      <pane ySplit="8" topLeftCell="A9" activePane="bottomLeft" state="frozen"/>
      <selection pane="bottomLeft" activeCell="H9" sqref="H9:H11"/>
    </sheetView>
  </sheetViews>
  <sheetFormatPr baseColWidth="10" defaultColWidth="8.83203125" defaultRowHeight="13"/>
  <cols>
    <col width="3" customWidth="1" min="1" max="1"/>
    <col width="24" customWidth="1" min="2" max="2"/>
    <col width="14" bestFit="1" customWidth="1" style="11" min="3" max="3"/>
    <col width="34" customWidth="1" min="4" max="4"/>
    <col width="46" customWidth="1" min="5" max="5"/>
    <col width="42" customWidth="1" min="6" max="6"/>
    <col width="38" customWidth="1" min="7" max="7"/>
    <col width="14" bestFit="1" customWidth="1" style="11" min="8" max="8"/>
  </cols>
  <sheetData>
    <row r="1" ht="24" customHeight="1">
      <c r="A1" s="44" t="inlineStr">
        <is>
          <t>Function Test Cases - Hệ Thống Tính Thuế TNCN (PIT System)</t>
        </is>
      </c>
      <c r="B1" s="56" t="n"/>
      <c r="C1" s="56" t="n"/>
      <c r="D1" s="56" t="n"/>
      <c r="E1" s="56" t="n"/>
      <c r="F1" s="56" t="n"/>
      <c r="G1" s="56" t="n"/>
      <c r="H1" s="56" t="n"/>
    </row>
    <row r="2">
      <c r="G2" s="12" t="inlineStr">
        <is>
          <t>Passed</t>
        </is>
      </c>
      <c r="H2" s="9">
        <f>COUNTIF($H$9:$H$2001, "Passed")</f>
        <v/>
      </c>
    </row>
    <row r="3">
      <c r="G3" s="12" t="inlineStr">
        <is>
          <t>Failed</t>
        </is>
      </c>
      <c r="H3" s="9">
        <f>COUNTIF($H$9:$H$2001, "Failed")</f>
        <v/>
      </c>
    </row>
    <row r="4">
      <c r="C4" s="13" t="n"/>
      <c r="G4" s="12" t="inlineStr">
        <is>
          <t>Not Run</t>
        </is>
      </c>
      <c r="H4" s="9">
        <f>COUNTIF($H$9:$H$2001, "Not Run")</f>
        <v/>
      </c>
    </row>
    <row r="5">
      <c r="G5" s="12" t="inlineStr">
        <is>
          <t>Not Completed</t>
        </is>
      </c>
      <c r="H5" s="9">
        <f>COUNTIF($H$9:$H$2001, "Not Completed")</f>
        <v/>
      </c>
    </row>
    <row r="6">
      <c r="G6" s="12" t="inlineStr">
        <is>
          <t>Number of test cases</t>
        </is>
      </c>
      <c r="H6" s="9">
        <f>COUNTA(C9:C2000)</f>
        <v/>
      </c>
    </row>
    <row r="7">
      <c r="B7" s="8" t="inlineStr">
        <is>
          <t>Category</t>
        </is>
      </c>
      <c r="C7" s="8" t="inlineStr">
        <is>
          <t>Test Case ID</t>
        </is>
      </c>
      <c r="D7" s="8" t="inlineStr">
        <is>
          <t>Test Case Description</t>
        </is>
      </c>
      <c r="E7" s="8" t="inlineStr">
        <is>
          <t>Test Procedures</t>
        </is>
      </c>
      <c r="F7" s="50" t="n"/>
      <c r="G7" s="8" t="inlineStr">
        <is>
          <t>Test Case Expected Result</t>
        </is>
      </c>
      <c r="H7" s="8" t="inlineStr">
        <is>
          <t>Status</t>
        </is>
      </c>
    </row>
    <row r="8" ht="14" customHeight="1">
      <c r="B8" s="61" t="n"/>
      <c r="C8" s="61" t="n"/>
      <c r="D8" s="61" t="n"/>
      <c r="E8" s="8" t="inlineStr">
        <is>
          <t>Steps to Perform</t>
        </is>
      </c>
      <c r="F8" s="8" t="inlineStr">
        <is>
          <t>Step Expected Result</t>
        </is>
      </c>
      <c r="G8" s="61" t="n"/>
      <c r="H8" s="61" t="n"/>
    </row>
    <row r="9" ht="74" customHeight="1">
      <c r="A9" s="62" t="n"/>
      <c r="B9" s="63" t="inlineStr">
        <is>
          <t>1. Đăng ký &amp;
Xác thực tài khoản</t>
        </is>
      </c>
      <c r="C9" s="64" t="inlineStr">
        <is>
          <t>FUNC 001</t>
        </is>
      </c>
      <c r="D9" s="65" t="inlineStr">
        <is>
          <t>Đăng ký tài khoản Người nộp thuế mới thành công với bộ dữ liệu hợp lệ</t>
        </is>
      </c>
      <c r="E9" s="66" t="inlineStr">
        <is>
          <t>1. Mở trang chủ http://localhost:8080, nhấn nút 'Đăng Ký'.
2. Nhập Username: 'levanc', Mật khẩu: 'Password@123'.
3. Nhập Họ tên: 'Lê Văn C', MST: '0312345678' (10 số), CCCD: '001200088888' (12 số), SĐT: '0933123456', Email: 'levanc@gmail.com'.
4. Nhấn nút 'Hoàn Tất Đăng Ký'.</t>
        </is>
      </c>
      <c r="F9" s="66" t="inlineStr">
        <is>
          <t>1. Hiển thị Modal Đăng ký tài khoản.
2-3. Các trường nhận dữ liệu hợp lệ.
4. API POST /api/auth/register trả về HTTP 200 (success=true).</t>
        </is>
      </c>
      <c r="G9" s="66" t="inlineStr">
        <is>
          <t>Đăng ký tài khoản thành công, gán vai trò TAXPAYER, thông báo thành công và chuyển sang Modal Đăng nhập.</t>
        </is>
      </c>
      <c r="H9" s="67" t="inlineStr">
        <is>
          <t>Passed</t>
        </is>
      </c>
    </row>
    <row r="10" ht="58" customHeight="1">
      <c r="A10" s="62" t="n"/>
      <c r="B10" s="68" t="n"/>
      <c r="C10" s="69" t="inlineStr">
        <is>
          <t>FUNC 002</t>
        </is>
      </c>
      <c r="D10" s="70" t="inlineStr">
        <is>
          <t>Kiểm tra đăng ký thất bại khi nhập trùng Tên đăng nhập đã tồn tại</t>
        </is>
      </c>
      <c r="E10" s="70" t="inlineStr">
        <is>
          <t>1. Mở Modal 'Đăng Ký' tại trang chủ.
2. Nhập Username đã tồn tại: 'nguyenvana'.
3. Nhập các thông tin hợp lệ khác và nhấn 'Hoàn Tất Đăng Ký'.</t>
        </is>
      </c>
      <c r="F10" s="70" t="inlineStr">
        <is>
          <t>1. Mở form đăng ký.
2-3. Hệ thống kiểm tra trùng lặp trong UserService.
4. API trả về HTTP 400 kèm thông báo lỗi.</t>
        </is>
      </c>
      <c r="G10" s="70" t="inlineStr">
        <is>
          <t>Hệ thống từ chối tạo tài khoản mới và hiển thị cảnh báo: 'Tên đăng nhập đã tồn tại'.</t>
        </is>
      </c>
      <c r="H10" s="67" t="inlineStr">
        <is>
          <t>Passed</t>
        </is>
      </c>
    </row>
    <row r="11" ht="58" customHeight="1">
      <c r="A11" s="62" t="n"/>
      <c r="B11" s="68" t="n"/>
      <c r="C11" s="64" t="inlineStr">
        <is>
          <t>FUNC 003</t>
        </is>
      </c>
      <c r="D11" s="66" t="inlineStr">
        <is>
          <t>Kiểm tra ràng buộc Tên đăng nhập không hợp lệ (&lt; 3 ký tự, &gt; 30 ký tự hoặc chứa ký tự đặc biệt)</t>
        </is>
      </c>
      <c r="E11" s="66" t="inlineStr">
        <is>
          <t>1. Mở Modal 'Đăng Ký'.
2. Nhập thử Username = 'ab' (2 ký tự) hoặc 'user@123' (chứa @) hoặc chuỗi &gt; 30 ký tự.
3. Điền các trường còn lại hợp lệ và nhấn 'Hoàn Tất Đăng Ký'.</t>
        </is>
      </c>
      <c r="F11" s="66" t="inlineStr">
        <is>
          <t>1. Mở form đăng ký.
2-3. ValidationUtil.isValidUsername() trả về false.</t>
        </is>
      </c>
      <c r="G11" s="66" t="inlineStr">
        <is>
          <t>Hệ thống chặn đăng ký và hiển thị lỗi: 'Tên đăng nhập không hợp lệ (3-30 ký tự chữ, số, gạch dưới)'.</t>
        </is>
      </c>
      <c r="H11" s="67" t="inlineStr">
        <is>
          <t>Passed</t>
        </is>
      </c>
    </row>
    <row r="12" ht="58" customHeight="1">
      <c r="A12" s="62" t="n"/>
      <c r="B12" s="68" t="n"/>
      <c r="C12" s="69" t="inlineStr">
        <is>
          <t>FUNC 004</t>
        </is>
      </c>
      <c r="D12" s="70" t="inlineStr">
        <is>
          <t>Kiểm tra ràng buộc Mật khẩu quá ngắn (&lt; 6 ký tự) khi đăng ký</t>
        </is>
      </c>
      <c r="E12" s="70" t="inlineStr">
        <is>
          <t>1. Mở Modal 'Đăng Ký'.
2. Nhập Username hợp lệ, nhập Mật khẩu = '12345' (5 ký tự).
3. Nhấn nút 'Hoàn Tất Đăng Ký'.</t>
        </is>
      </c>
      <c r="F12" s="70" t="inlineStr">
        <is>
          <t>1. Mở form đăng ký.
2-3. ValidationUtil.isValidPassword() kiểm tra độ dài &lt; 6 ký tự.</t>
        </is>
      </c>
      <c r="G12" s="70" t="inlineStr">
        <is>
          <t>Hệ thống từ chối đăng ký và cảnh báo: 'Mật khẩu phải từ 6 ký tự trở lên'.</t>
        </is>
      </c>
      <c r="H12" s="67" t="inlineStr">
        <is>
          <t>Passed</t>
        </is>
      </c>
    </row>
    <row r="13" ht="58" customHeight="1">
      <c r="A13" s="62" t="n"/>
      <c r="B13" s="68" t="n"/>
      <c r="C13" s="64" t="inlineStr">
        <is>
          <t>FUNC 005</t>
        </is>
      </c>
      <c r="D13" s="66" t="inlineStr">
        <is>
          <t>Kiểm tra ràng buộc Mã số thuế (MST) sai định dạng (9 số, 11 số hoặc chứa chữ cái)</t>
        </is>
      </c>
      <c r="E13" s="66" t="inlineStr">
        <is>
          <t>1. Mở Modal 'Đăng Ký'.
2. Nhập Mã số thuế = '123456789' (9 số) hoặc '012345678a'.
3. Điền các trường còn lại hợp lệ và nhấn 'Hoàn Tất Đăng Ký'.</t>
        </is>
      </c>
      <c r="F13" s="66" t="inlineStr">
        <is>
          <t>1. Mở form đăng ký.
2-3. ValidationUtil.isValidTaxCode() kiểm tra regex ^[0-9]{10}(-[0-9]{3})?$ trả về false.</t>
        </is>
      </c>
      <c r="G13" s="66" t="inlineStr">
        <is>
          <t>Hệ thống từ chối đăng ký và hiển thị cảnh báo: 'Mã số thuế không hợp lệ (10 chữ số)'.</t>
        </is>
      </c>
      <c r="H13" s="67" t="inlineStr">
        <is>
          <t>Passed</t>
        </is>
      </c>
    </row>
    <row r="14" ht="58" customHeight="1">
      <c r="A14" s="62" t="n"/>
      <c r="B14" s="68" t="n"/>
      <c r="C14" s="69" t="inlineStr">
        <is>
          <t>FUNC 006</t>
        </is>
      </c>
      <c r="D14" s="70" t="inlineStr">
        <is>
          <t>Kiểm tra ràng buộc số Căn cước công dân (CCCD) sai định dạng (11 số, 13 số hoặc chứa chữ)</t>
        </is>
      </c>
      <c r="E14" s="70" t="inlineStr">
        <is>
          <t>1. Mở Modal 'Đăng Ký'.
2. Nhập CCCD = '00120001234' (11 số) hoặc '00120001234x'.
3. Nhấn 'Hoàn Tất Đăng Ký'.</t>
        </is>
      </c>
      <c r="F14" s="70" t="inlineStr">
        <is>
          <t>1. Mở form đăng ký.
2-3. ValidationUtil.isValidCitizenId() kiểm tra regex ^[0-9]{12}$ trả về false.</t>
        </is>
      </c>
      <c r="G14" s="70" t="inlineStr">
        <is>
          <t>Hệ thống từ chối đăng ký và hiển thị cảnh báo: 'Số CCCD phải gồm đúng 12 chữ số'.</t>
        </is>
      </c>
      <c r="H14" s="67" t="inlineStr">
        <is>
          <t>Passed</t>
        </is>
      </c>
    </row>
    <row r="15" ht="58" customHeight="1">
      <c r="A15" s="62" t="n"/>
      <c r="B15" s="68" t="n"/>
      <c r="C15" s="64" t="inlineStr">
        <is>
          <t>FUNC 007</t>
        </is>
      </c>
      <c r="D15" s="66" t="inlineStr">
        <is>
          <t>Kiểm tra ràng buộc Số điện thoại và Email sai định dạng khi đăng ký</t>
        </is>
      </c>
      <c r="E15" s="66" t="inlineStr">
        <is>
          <t>1. Mở Modal 'Đăng Ký'.
2. Nhập SĐT = '1234567890' (không bắt đầu bằng số 0) hoặc Email = 'user@.com'.
3. Nhấn 'Hoàn Tất Đăng Ký'.</t>
        </is>
      </c>
      <c r="F15" s="66" t="inlineStr">
        <is>
          <t>1. Mở form đăng ký.
2-3. ValidationUtil.isValidPhone() / isValidEmail() trả về false.</t>
        </is>
      </c>
      <c r="G15" s="66" t="inlineStr">
        <is>
          <t>Hệ thống từ chối đăng ký và báo lỗi định dạng Số điện thoại (10 số bắt đầu bằng 0) hoặc Email không hợp lệ.</t>
        </is>
      </c>
      <c r="H15" s="67" t="inlineStr">
        <is>
          <t>Passed</t>
        </is>
      </c>
    </row>
    <row r="16" ht="74" customHeight="1">
      <c r="A16" s="62" t="n"/>
      <c r="B16" s="71" t="n"/>
      <c r="C16" s="69" t="inlineStr">
        <is>
          <t>FUNC 008</t>
        </is>
      </c>
      <c r="D16" s="70" t="inlineStr">
        <is>
          <t>Kiểm tra Đăng nhập phân quyền (Taxpayer / Admin), sai mật khẩu và Đăng xuất</t>
        </is>
      </c>
      <c r="E16" s="70" t="inlineStr">
        <is>
          <t>1. Mở Modal 'Đăng Nhập', nhập 'nguyenvana' / 'SaiMatKhau' -&gt; Nhấn Đăng nhập.
2. Nhập đúng 'nguyenvana' / 'User@123' -&gt; Nhấn Đăng nhập.
3. Nhấn nút 'Đăng xuất' trên thanh Navbar.
4. Đăng nhập với tài khoản 'admin' / 'Admin@123'.</t>
        </is>
      </c>
      <c r="F16" s="70" t="inlineStr">
        <is>
          <t>1. Báo lỗi HTTP 401: 'Sai tên đăng nhập hoặc mật khẩu'.
2. Chuyển hướng tới /dashboard.html.
3. Xóa HttpSession và quay về /index.html.
4. Chuyển hướng tới /admin.html.</t>
        </is>
      </c>
      <c r="G16" s="70" t="inlineStr">
        <is>
          <t>Xác thực chính xác tài khoản, phân luồng đúng giao diện theo vai trò và hủy phiên an toàn khi đăng xuất.</t>
        </is>
      </c>
      <c r="H16" s="67" t="inlineStr">
        <is>
          <t>Passed</t>
        </is>
      </c>
    </row>
    <row r="17" ht="42" customHeight="1">
      <c r="A17" s="62" t="n"/>
      <c r="B17" s="63" t="inlineStr">
        <is>
          <t>2. Thuật toán Tính thuế
TNCN 5 bậc (BVA &amp; EP)</t>
        </is>
      </c>
      <c r="C17" s="64" t="inlineStr">
        <is>
          <t>FUNC 009</t>
        </is>
      </c>
      <c r="D17" s="66" t="inlineStr">
        <is>
          <t>Tính thuế khi thu nhập dưới ngưỡng giảm trừ bản thân (Lương 10.000.000đ, 0 người phụ thuộc)</t>
        </is>
      </c>
      <c r="E17" s="66" t="inlineStr">
        <is>
          <t>1. Tại công cụ tính thuế, nhập Lương chính = 10.000.000 VNĐ, các khoản khác = 0, Người phụ thuộc = 0.
2. Thực hiện tính thuế.</t>
        </is>
      </c>
      <c r="F17" s="66" t="inlineStr">
        <is>
          <t>1. Bảo hiểm (10.5%) = 1.050.000đ; Giảm trừ bản thân = 15.500.000đ.
2. Tổng giảm trừ = 16.550.000đ &gt; TNCT (10.000.000đ) -&gt; TNTT = 0đ.</t>
        </is>
      </c>
      <c r="G17" s="66" t="inlineStr">
        <is>
          <t>Thu nhập tính thuế (TNTT) = 0 đ; Tổng thuế TNCN phải nộp = 0 đ; Thu nhập Net = 8.950.000 đ.</t>
        </is>
      </c>
      <c r="H17" s="67" t="inlineStr">
        <is>
          <t>Passed</t>
        </is>
      </c>
    </row>
    <row r="18" ht="42" customHeight="1">
      <c r="A18" s="62" t="n"/>
      <c r="B18" s="68" t="n"/>
      <c r="C18" s="69" t="inlineStr">
        <is>
          <t>FUNC 010</t>
        </is>
      </c>
      <c r="D18" s="70" t="inlineStr">
        <is>
          <t>Tính thuế khi thu nhập bằng đúng mức giảm trừ bản thân (Lương 15.500.000đ, 0 người phụ thuộc)</t>
        </is>
      </c>
      <c r="E18" s="70" t="inlineStr">
        <is>
          <t>1. Nhập Lương chính = 15.500.000 VNĐ, Thưởng = 0, Người phụ thuộc = 0, Từ thiện = 0.
2. Thực hiện tính thuế.</t>
        </is>
      </c>
      <c r="F18" s="70" t="inlineStr">
        <is>
          <t>1. TNCT = 15.500.000đ; Giảm trừ bản thân = 15.500.000đ, BH = 1.627.500đ.
2. TNTT = max(0, 15.5tr - 17.1275tr) = 0đ.</t>
        </is>
      </c>
      <c r="G18" s="70" t="inlineStr">
        <is>
          <t>Thu nhập tính thuế (TNTT) = 0 đ; Tổng thuế TNCN phải nộp = 0 đ.</t>
        </is>
      </c>
      <c r="H18" s="67" t="inlineStr">
        <is>
          <t>Passed</t>
        </is>
      </c>
    </row>
    <row r="19" ht="42" customHeight="1">
      <c r="A19" s="62" t="n"/>
      <c r="B19" s="68" t="n"/>
      <c r="C19" s="64" t="inlineStr">
        <is>
          <t>FUNC 011</t>
        </is>
      </c>
      <c r="D19" s="66" t="inlineStr">
        <is>
          <t>Kiểm thử giá trị biên trên Bậc 1: TNTT đúng bằng 10.000.000 VNĐ (Thuế suất 5%)</t>
        </is>
      </c>
      <c r="E19" s="66" t="inlineStr">
        <is>
          <t>1. Nhập dữ liệu đầu vào sao cho Thu nhập tính thuế (TNTT) = 10.000.000 VNĐ (VD: Lương = 25.500.000đ, Miễn thuế/Cấu hình BH = 0 hoặc gọi hàm với TNTT = 10.000.000đ).
2. Kiểm tra kết quả tính thuế Bậc 1.</t>
        </is>
      </c>
      <c r="F19" s="66" t="inlineStr">
        <is>
          <t>1. Toàn bộ 10.000.000đ nằm trọn trong Bậc 1 (Đến 10 triệu VNĐ, thuế suất 5%).
2. Tiền thuế Bậc 1 = 10.000.000 × 5% = 500.000đ; Các bậc 2, 3, 4, 5 = 0đ.</t>
        </is>
      </c>
      <c r="G19" s="66" t="inlineStr">
        <is>
          <t>Tổng thuế TNCN phải nộp = 500.000 đ (khớp 100% với công thức rút gọn 10tr × 5%).</t>
        </is>
      </c>
      <c r="H19" s="67" t="inlineStr">
        <is>
          <t>Passed</t>
        </is>
      </c>
    </row>
    <row r="20" ht="42" customHeight="1">
      <c r="A20" s="62" t="n"/>
      <c r="B20" s="68" t="n"/>
      <c r="C20" s="69" t="inlineStr">
        <is>
          <t>FUNC 012</t>
        </is>
      </c>
      <c r="D20" s="70" t="inlineStr">
        <is>
          <t>Kiểm thử giá trị biên cận trên Bậc 1 chuyển sang Bậc 2: TNTT = 10.000.001 VNĐ</t>
        </is>
      </c>
      <c r="E20" s="70" t="inlineStr">
        <is>
          <t>1. Thiết lập dữ liệu có Thu nhập tính thuế (TNTT) = 10.000.001 VNĐ.
2. Kiểm tra phân bổ thu nhập vào Bậc 1 và Bậc 2.</t>
        </is>
      </c>
      <c r="F20" s="70" t="inlineStr">
        <is>
          <t>1. Bậc 1 nhận tối đa 10.000.000đ × 5% = 500.000đ.
2. Bậc 2 nhận phần vượt 1đ × 10% = 0,1đ (làm tròn 0đ).</t>
        </is>
      </c>
      <c r="G20" s="70" t="inlineStr">
        <is>
          <t>Hệ thống tách đúng phần vượt sang Bậc 2, tổng thuế làm tròn = 500.000 đ.</t>
        </is>
      </c>
      <c r="H20" s="67" t="inlineStr">
        <is>
          <t>Passed</t>
        </is>
      </c>
    </row>
    <row r="21" ht="58" customHeight="1">
      <c r="A21" s="62" t="n"/>
      <c r="B21" s="68" t="n"/>
      <c r="C21" s="64" t="inlineStr">
        <is>
          <t>FUNC 013</t>
        </is>
      </c>
      <c r="D21" s="66" t="inlineStr">
        <is>
          <t>Kiểm thử kịch bản thực tế báo Chính phủ: Lương 35.000.000đ, 1 người phụ thuộc</t>
        </is>
      </c>
      <c r="E21" s="66" t="inlineStr">
        <is>
          <t>1. Nhập Lương chính = 35.000.000 VNĐ, Thưởng = 0, Người phụ thuộc = 1, Từ thiện = 0.
2. Quan sát bảng kết quả tính thuế chi tiết.</t>
        </is>
      </c>
      <c r="F21" s="66" t="inlineStr">
        <is>
          <t>1. Bảo hiểm (10.5% × 35tr) = 3.675.000đ.
2. Giảm trừ bản thân = 15.500.000đ; 1 NPT = 6.200.000đ -&gt; Tổng giảm trừ = 25.375.000đ.
3. TNTT = 35.000.000 - 25.375.000 = 9.625.000đ (Bậc 1 - 5%).</t>
        </is>
      </c>
      <c r="G21" s="66" t="inlineStr">
        <is>
          <t>Tổng thuế TNCN phải nộp = 481.250 đ; Thu nhập thực nhận (Net) = 30.843.750 đ.</t>
        </is>
      </c>
      <c r="H21" s="67" t="inlineStr">
        <is>
          <t>Passed</t>
        </is>
      </c>
    </row>
    <row r="22" ht="58" customHeight="1">
      <c r="A22" s="62" t="n"/>
      <c r="B22" s="68" t="n"/>
      <c r="C22" s="69" t="inlineStr">
        <is>
          <t>FUNC 014</t>
        </is>
      </c>
      <c r="D22" s="70" t="inlineStr">
        <is>
          <t>Kiểm thử giá trị biên trên Bậc 2: TNTT đúng bằng 30.000.000 VNĐ (Thuế suất 10%)</t>
        </is>
      </c>
      <c r="E22" s="70" t="inlineStr">
        <is>
          <t>1. Thiết lập thu nhập có Thu nhập tính thuế (TNTT) = 30.000.000 VNĐ.
2. Kiểm tra số thuế tại Bậc 1, Bậc 2 và Tổng thuế.</t>
        </is>
      </c>
      <c r="F22" s="70" t="inlineStr">
        <is>
          <t>1. Bậc 1 (10tr × 5%) = 500.000đ.
2. Bậc 2 (20tr × 10%) = 2.000.000đ.
3. Công thức rút gọn: 30tr × 10% - 500.000 = 2.500.000đ.</t>
        </is>
      </c>
      <c r="G22" s="70" t="inlineStr">
        <is>
          <t>Tổng thuế TNCN phải nộp = 2.500.000 đ.</t>
        </is>
      </c>
      <c r="H22" s="67" t="inlineStr">
        <is>
          <t>Passed</t>
        </is>
      </c>
    </row>
    <row r="23" ht="58" customHeight="1">
      <c r="A23" s="62" t="n"/>
      <c r="B23" s="68" t="n"/>
      <c r="C23" s="64" t="inlineStr">
        <is>
          <t>FUNC 015</t>
        </is>
      </c>
      <c r="D23" s="66" t="inlineStr">
        <is>
          <t>Kiểm thử giá trị biên trên Bậc 3: TNTT đúng bằng 60.000.000 VNĐ (Thuế suất 20%)</t>
        </is>
      </c>
      <c r="E23" s="66" t="inlineStr">
        <is>
          <t>1. Thiết lập thu nhập có Thu nhập tính thuế (TNTT) = 60.000.000 VNĐ.
2. Kiểm tra số thuế lũy tiến từ Bậc 1 đến Bậc 3.</t>
        </is>
      </c>
      <c r="F23" s="66" t="inlineStr">
        <is>
          <t>1. Bậc 1: 500.000đ; Bậc 2: 2.000.000đ.
2. Bậc 3 (30tr × 20%) = 6.000.000đ.
3. Công thức rút gọn: 60tr × 20% - 3.500.000 = 8.500.000đ.</t>
        </is>
      </c>
      <c r="G23" s="66" t="inlineStr">
        <is>
          <t>Tổng thuế TNCN phải nộp = 8.500.000 đ.</t>
        </is>
      </c>
      <c r="H23" s="67" t="inlineStr">
        <is>
          <t>Passed</t>
        </is>
      </c>
    </row>
    <row r="24" ht="58" customHeight="1">
      <c r="A24" s="62" t="n"/>
      <c r="B24" s="68" t="n"/>
      <c r="C24" s="69" t="inlineStr">
        <is>
          <t>FUNC 016</t>
        </is>
      </c>
      <c r="D24" s="70" t="inlineStr">
        <is>
          <t>Kiểm thử giá trị biên trên Bậc 4: TNTT đúng bằng 100.000.000 VNĐ (Thuế suất 30%)</t>
        </is>
      </c>
      <c r="E24" s="70" t="inlineStr">
        <is>
          <t>1. Thiết lập thu nhập có Thu nhập tính thuế (TNTT) = 100.000.000 VNĐ.
2. Kiểm tra số thuế lũy tiến từ Bậc 1 đến Bậc 4.</t>
        </is>
      </c>
      <c r="F24" s="70" t="inlineStr">
        <is>
          <t>1. Bậc 1..3 = 8.500.000đ.
2. Bậc 4 (40tr × 30%) = 12.000.000đ.
3. Công thức rút gọn: 100tr × 30% - 9.500.000 = 20.500.000đ.</t>
        </is>
      </c>
      <c r="G24" s="70" t="inlineStr">
        <is>
          <t>Tổng thuế TNCN phải nộp = 20.500.000 đ.</t>
        </is>
      </c>
      <c r="H24" s="67" t="inlineStr">
        <is>
          <t>Passed</t>
        </is>
      </c>
    </row>
    <row r="25" ht="58" customHeight="1">
      <c r="A25" s="62" t="n"/>
      <c r="B25" s="68" t="n"/>
      <c r="C25" s="64" t="inlineStr">
        <is>
          <t>FUNC 017</t>
        </is>
      </c>
      <c r="D25" s="66" t="inlineStr">
        <is>
          <t>Kiểm thử Bậc 5 (Thu nhập rất cao &gt; 100 triệu): TNTT = 120.000.000 VNĐ (Thuế suất 35%)</t>
        </is>
      </c>
      <c r="E25" s="66" t="inlineStr">
        <is>
          <t>1. Thiết lập thu nhập có Thu nhập tính thuế (TNTT) = 120.000.000 VNĐ.
2. Kiểm tra số thuế lũy tiến toàn bộ 5 bậc.</t>
        </is>
      </c>
      <c r="F25" s="66" t="inlineStr">
        <is>
          <t>1. Bậc 1..4 = 20.500.000đ.
2. Bậc 5 (20tr × 35%) = 7.000.000đ.
3. Công thức rút gọn: 120tr × 35% - 14.500.000 = 27.500.000đ.</t>
        </is>
      </c>
      <c r="G25" s="66" t="inlineStr">
        <is>
          <t>Tổng thuế TNCN phải nộp = 27.500.000 đ.</t>
        </is>
      </c>
      <c r="H25" s="67" t="inlineStr">
        <is>
          <t>Passed</t>
        </is>
      </c>
    </row>
    <row r="26" ht="42" customHeight="1">
      <c r="A26" s="62" t="n"/>
      <c r="B26" s="68" t="n"/>
      <c r="C26" s="69" t="inlineStr">
        <is>
          <t>FUNC 018</t>
        </is>
      </c>
      <c r="D26" s="70" t="inlineStr">
        <is>
          <t>Kiểm tra áp dụng mức trần lương đóng bảo hiểm bắt buộc (Lương 80 triệu &gt; Trần 46.8 triệu)</t>
        </is>
      </c>
      <c r="E26" s="70" t="inlineStr">
        <is>
          <t>1. Nhập Lương chính = 80.000.000 VNĐ, Thưởng = 0, Người phụ thuộc = 0.
2. Kiểm tra dòng 'Bảo hiểm bắt buộc (10.5%)' trên bảng kết quả.</t>
        </is>
      </c>
      <c r="F26" s="70" t="inlineStr">
        <is>
          <t>1. Hệ thống so sánh min(80.000.000, 46.800.000) = 46.800.000đ.
2. Tổng bảo hiểm = 46.800.000 × 10.5% = 4.914.000đ (không tính 10.5% trên 80tr).</t>
        </is>
      </c>
      <c r="G26" s="70" t="inlineStr">
        <is>
          <t>Khấu trừ bảo hiểm bắt buộc tính đúng theo mức trần = 4.914.000 đ; TNTT = 59.586.000 đ.</t>
        </is>
      </c>
      <c r="H26" s="67" t="inlineStr">
        <is>
          <t>Passed</t>
        </is>
      </c>
    </row>
    <row r="27" ht="58" customHeight="1">
      <c r="A27" s="62" t="n"/>
      <c r="B27" s="68" t="n"/>
      <c r="C27" s="64" t="inlineStr">
        <is>
          <t>FUNC 019</t>
        </is>
      </c>
      <c r="D27" s="66" t="inlineStr">
        <is>
          <t>Kiểm tra khấu trừ khoản Đóng góp từ thiện, nhân đạo và Thu nhập miễn thuế</t>
        </is>
      </c>
      <c r="E27" s="66" t="inlineStr">
        <is>
          <t>1. Nhập Lương chính = 35.000.000đ, Thưởng = 5.000.000đ, Miễn thuế = 2.000.000đ, 1 NPT, Từ thiện = 1.000.000đ.
2. Thực hiện tính thuế.</t>
        </is>
      </c>
      <c r="F27" s="66" t="inlineStr">
        <is>
          <t>1. Tổng thu nhập = 40tr; TNCT = 40tr - 2tr = 38tr.
2. Giảm trừ = 15,5tr (bản thân) + 6,2tr (1 NPT) + 3,675tr (BH trên lương 35tr) + 1tr (từ thiện) = 26,375tr.
3. TNTT = 38tr - 26,375tr = 11.625.000đ.</t>
        </is>
      </c>
      <c r="G27" s="66" t="inlineStr">
        <is>
          <t>Thu nhập miễn thuế và từ thiện được khấu trừ chính xác; TNTT = 11.625.000 đ; Thuế = 662.500 đ.</t>
        </is>
      </c>
      <c r="H27" s="67" t="inlineStr">
        <is>
          <t>Passed</t>
        </is>
      </c>
    </row>
    <row r="28" ht="42" customHeight="1">
      <c r="A28" s="62" t="n"/>
      <c r="B28" s="71" t="n"/>
      <c r="C28" s="69" t="inlineStr">
        <is>
          <t>FUNC 020</t>
        </is>
      </c>
      <c r="D28" s="70" t="inlineStr">
        <is>
          <t>Kiểm tra tính đồng nhất giữa phương pháp Lũy tiến từng phần và Công thức rút gọn trên 14 mốc TNTT</t>
        </is>
      </c>
      <c r="E28" s="70" t="inlineStr">
        <is>
          <t>1. Thực thi kiểm thử tham số hóa (@ParameterizedTest) với 14 mức TNTT từ 0đ đến 200.000.000đ.
2. So sánh kết quả hàm calculateTaxOnly() và calculateQuickFormula().</t>
        </is>
      </c>
      <c r="F28" s="70" t="inlineStr">
        <is>
          <t>1. Cả 14 bộ dữ liệu đều chạy qua 2 thuật toán độc lập.
2. Độ lệch giữa 2 phương pháp tại mọi điểm = 0 VNĐ.</t>
        </is>
      </c>
      <c r="G28" s="70" t="inlineStr">
        <is>
          <t>Hai phương pháp tính thuế cho kết quả trùng khớp tuyệt đối 100% trên toàn miền giá trị.</t>
        </is>
      </c>
      <c r="H28" s="67" t="inlineStr">
        <is>
          <t>Passed</t>
        </is>
      </c>
    </row>
    <row r="29" ht="58" customHeight="1">
      <c r="A29" s="62" t="n"/>
      <c r="B29" s="63" t="inlineStr">
        <is>
          <t>3. Kê khai thuế &amp;
Quản lý tờ khai</t>
        </is>
      </c>
      <c r="C29" s="64" t="inlineStr">
        <is>
          <t>FUNC 021</t>
        </is>
      </c>
      <c r="D29" s="66" t="inlineStr">
        <is>
          <t>Nộp tờ khai thuế định kỳ tháng thành công (có phát sinh thuế phải nộp -&gt; Trạng thái PENDING)</t>
        </is>
      </c>
      <c r="E29" s="66" t="inlineStr">
        <is>
          <t>1. Đăng nhập tài khoản 'nguyenvana' / 'User@123' vào /dashboard.html.
2. Chọn Năm: 2026, Kỳ: Tháng 3, Lương: 35.000.000đ, Thưởng: 5.000.000đ, NPT: 1.
3. Nhấn nút 'Nộp Tờ Khai Thuế' ở giữa khung.</t>
        </is>
      </c>
      <c r="F29" s="66" t="inlineStr">
        <is>
          <t>1. Hiển thị form kê khai.
2. Bảng tính tự động hiển thị Thuế = 962.500đ.
3. API POST /api/tax/declare trả về HTTP 200 kèm mã tờ khai mới (VD: DEC-1004).</t>
        </is>
      </c>
      <c r="G29" s="66" t="inlineStr">
        <is>
          <t>Lưu tờ khai thành công với trạng thái PENDING (Chờ đóng thuế) và tự động chuyển sang Tab 2 Danh sách tờ khai.</t>
        </is>
      </c>
      <c r="H29" s="67" t="inlineStr">
        <is>
          <t>Passed</t>
        </is>
      </c>
    </row>
    <row r="30" ht="58" customHeight="1">
      <c r="A30" s="62" t="n"/>
      <c r="B30" s="68" t="n"/>
      <c r="C30" s="69" t="inlineStr">
        <is>
          <t>FUNC 022</t>
        </is>
      </c>
      <c r="D30" s="70" t="inlineStr">
        <is>
          <t>Nộp tờ khai thuế khi thu nhập dưới ngưỡng chịu thuế (Thuế = 0đ -&gt; Tự động chuyển PAID)</t>
        </is>
      </c>
      <c r="E30" s="70" t="inlineStr">
        <is>
          <t>1. Đăng nhập vào /dashboard.html.
2. Chọn Năm: 2026, Kỳ: Tháng 4, nhập Lương = 12.000.000đ, Thưởng = 0, NPT = 0.
3. Nhấn nút 'Nộp Tờ Khai Thuế'.</t>
        </is>
      </c>
      <c r="F30" s="70" t="inlineStr">
        <is>
          <t>1-2. Bảng tính tự động hiển thị TNTT = 0đ, Tổng thuế = 0đ.
3. DeclarationService kiểm tra taxAmount == 0 -&gt; gán status = 'PAID'.</t>
        </is>
      </c>
      <c r="G30" s="70" t="inlineStr">
        <is>
          <t>Tờ khai được tạo thành công với số thuế = 0 đ và trạng thái tự động là 'Đã nộp thuế' (PAID).</t>
        </is>
      </c>
      <c r="H30" s="67" t="inlineStr">
        <is>
          <t>Passed</t>
        </is>
      </c>
    </row>
    <row r="31" ht="58" customHeight="1">
      <c r="A31" s="62" t="n"/>
      <c r="B31" s="68" t="n"/>
      <c r="C31" s="64" t="inlineStr">
        <is>
          <t>FUNC 023</t>
        </is>
      </c>
      <c r="D31" s="66" t="inlineStr">
        <is>
          <t>Nộp tờ khai quyết toán thuế cả năm (chọn kỳ kê khai 0: Quyết toán cả năm)</t>
        </is>
      </c>
      <c r="E31" s="66" t="inlineStr">
        <is>
          <t>1. Đăng nhập vào /dashboard.html.
2. Tại ô Kỳ kê khai, chọn 'Quyết toán cả năm' (value = 0), Năm = 2026.
3. Nhập thu nhập và nhấn 'Nộp Tờ Khai Thuế'.</t>
        </is>
      </c>
      <c r="F31" s="66" t="inlineStr">
        <is>
          <t>1-2. ValidationUtil.isValidTaxPeriod(2026, 0) hợp lệ.
3. Tờ khai được tạo với taxMonth = 0.</t>
        </is>
      </c>
      <c r="G31" s="66" t="inlineStr">
        <is>
          <t>Hệ thống lưu tờ khai thành công và hiển thị kỳ kê khai là 'Năm 2026' trong bảng danh sách.</t>
        </is>
      </c>
      <c r="H31" s="67" t="inlineStr">
        <is>
          <t>Passed</t>
        </is>
      </c>
    </row>
    <row r="32" ht="42" customHeight="1">
      <c r="A32" s="62" t="n"/>
      <c r="B32" s="68" t="n"/>
      <c r="C32" s="69" t="inlineStr">
        <is>
          <t>FUNC 024</t>
        </is>
      </c>
      <c r="D32" s="70" t="inlineStr">
        <is>
          <t>Kiểm tra chặn nộp tờ khai khi nhập dữ liệu kỳ tính thuế hoặc số người phụ thuộc không hợp lệ</t>
        </is>
      </c>
      <c r="E32" s="70" t="inlineStr">
        <is>
          <t>1. Gửi yêu cầu kê khai với Năm = 1995 (ngoài khoảng 2000-2100) hoặc Số người phụ thuộc = 55 (&gt; 50) hoặc Lương âm.
2. Kiểm tra phản hồi từ hệ thống.</t>
        </is>
      </c>
      <c r="F32" s="70" t="inlineStr">
        <is>
          <t>1. ValidationUtil kiểm tra điều kiện biên.
2. API /api/tax/declare từ chối yêu cầu với HTTP 400 Bad Request.</t>
        </is>
      </c>
      <c r="G32" s="70" t="inlineStr">
        <is>
          <t>Hệ thống chặn lưu tờ khai sai quy định và hiển thị thông báo lỗi dữ liệu đầu vào.</t>
        </is>
      </c>
      <c r="H32" s="67" t="inlineStr">
        <is>
          <t>Passed</t>
        </is>
      </c>
    </row>
    <row r="33" ht="42" customHeight="1">
      <c r="A33" s="62" t="n"/>
      <c r="B33" s="71" t="n"/>
      <c r="C33" s="64" t="inlineStr">
        <is>
          <t>FUNC 025</t>
        </is>
      </c>
      <c r="D33" s="66" t="inlineStr">
        <is>
          <t>Tra cứu và làm mới danh sách lịch sử tờ khai thuế của cá nhân</t>
        </is>
      </c>
      <c r="E33" s="66" t="inlineStr">
        <is>
          <t>1. Đăng nhập 'nguyenvana', chuyển sang Tab '2. Danh Sách Tờ Khai &amp; Đóng Thuế'.
2. Quan sát danh sách tờ khai và nhấn nút 'Làm mới'.</t>
        </is>
      </c>
      <c r="F33" s="66" t="inlineStr">
        <is>
          <t>1. Gọi API GET /api/tax/my-declarations.
2. Bảng hiển thị đúng các tờ khai của Nguyễn Văn A (DEC-1001, DEC-1002...).</t>
        </is>
      </c>
      <c r="G33" s="66" t="inlineStr">
        <is>
          <t>Hiển thị đầy đủ, chính xác danh sách tờ khai của người dùng đang đăng nhập kèm trạng thái và nút thao tác.</t>
        </is>
      </c>
      <c r="H33" s="67" t="inlineStr">
        <is>
          <t>Passed</t>
        </is>
      </c>
    </row>
    <row r="34" ht="58" customHeight="1">
      <c r="A34" s="62" t="n"/>
      <c r="B34" s="63" t="inlineStr">
        <is>
          <t>4. Đóng thuế trực tuyến
&amp; Biên lai điện tử</t>
        </is>
      </c>
      <c r="C34" s="69" t="inlineStr">
        <is>
          <t>FUNC 026</t>
        </is>
      </c>
      <c r="D34" s="70" t="inlineStr">
        <is>
          <t>Đóng thuế trực tuyến thành công qua cổng VNPAY-QR cho tờ khai đang chờ nộp</t>
        </is>
      </c>
      <c r="E34" s="70" t="inlineStr">
        <is>
          <t>1. Tại Tab 2 trang /dashboard.html, tìm tờ khai có trạng thái 'Chờ đóng thuế' (VD: DEC-1002).
2. Nhấn nút 'Đóng thuế'.
3. Chọn phương thức 'VNPAY - Quét mã QR' và nhấn 'Xác Nhận Đóng Thuế'.</t>
        </is>
      </c>
      <c r="F34" s="70" t="inlineStr">
        <is>
          <t>1-2. Mở Modal Cổng Đóng Thuế Trực Tuyến với số tiền thuế tương ứng.
3. API POST /api/tax/pay trả về HTTP 200, sinh biên lai REC-xxxx.</t>
        </is>
      </c>
      <c r="G34" s="70" t="inlineStr">
        <is>
          <t>Thanh toán thành công, trạng thái tờ khai đổi sang 'Đã nộp thuế' (PAID) và tự động mở Modal Biên lai điện tử.</t>
        </is>
      </c>
      <c r="H34" s="67" t="inlineStr">
        <is>
          <t>Passed</t>
        </is>
      </c>
    </row>
    <row r="35" ht="58" customHeight="1">
      <c r="A35" s="62" t="n"/>
      <c r="B35" s="68" t="n"/>
      <c r="C35" s="64" t="inlineStr">
        <is>
          <t>FUNC 027</t>
        </is>
      </c>
      <c r="D35" s="66" t="inlineStr">
        <is>
          <t>Đóng thuế trực tuyến qua Chuyển khoản Ngân hàng (BANK_TRANSFER) và Thẻ thanh toán (CREDIT_CARD)</t>
        </is>
      </c>
      <c r="E35" s="66" t="inlineStr">
        <is>
          <t>1. Tạo tờ khai mới có phát sinh thuế (trạng thái PENDING).
2. Mở Modal Đóng thuế, chọn 'Chuyển khoản Ngân hàng (Internet Banking)' hoặc 'Thẻ thanh toán Quốc tế / Nội địa'.
3. Nhấn 'Xác Nhận Đóng Thuế'.</t>
        </is>
      </c>
      <c r="F35" s="66" t="inlineStr">
        <is>
          <t>1-2. Chọn phương thức thanh toán.
3. PaymentService ghi nhận đúng phương thức BANK_TRANSFER / CREDIT_CARD vào biên lai.</t>
        </is>
      </c>
      <c r="G35" s="66" t="inlineStr">
        <is>
          <t>Giao dịch thành công, Biên lai điện tử hiển thị đúng phương thức thanh toán đã chọn.</t>
        </is>
      </c>
      <c r="H35" s="67" t="inlineStr">
        <is>
          <t>Passed</t>
        </is>
      </c>
    </row>
    <row r="36" ht="42" customHeight="1">
      <c r="A36" s="62" t="n"/>
      <c r="B36" s="68" t="n"/>
      <c r="C36" s="69" t="inlineStr">
        <is>
          <t>FUNC 028</t>
        </is>
      </c>
      <c r="D36" s="70" t="inlineStr">
        <is>
          <t>Kiểm tra chặn thanh toán trùng lặp (2 lần) cho cùng một tờ khai đã nộp thuế (PAID)</t>
        </is>
      </c>
      <c r="E36" s="70" t="inlineStr">
        <is>
          <t>1. Lấy mã một tờ khai đã ở trạng thái 'PAID' (VD: DEC-1001).
2. Gửi yêu cầu thanh toán POST /api/tax/pay cho mã tờ khai đó lần thứ 2.</t>
        </is>
      </c>
      <c r="F36" s="70" t="inlineStr">
        <is>
          <t>1. PaymentService kiểm tra 'PAID'.equals(dec.getStatus()).
2. Ném ngoại lệ IllegalStateException và trả về HTTP 400.</t>
        </is>
      </c>
      <c r="G36" s="70" t="inlineStr">
        <is>
          <t>Hệ thống chặn giao dịch trùng lặp và trả về thông báo: 'Tờ khai này đã được nộp thuế!'.</t>
        </is>
      </c>
      <c r="H36" s="67" t="inlineStr">
        <is>
          <t>Passed</t>
        </is>
      </c>
    </row>
    <row r="37" ht="58" customHeight="1">
      <c r="A37" s="62" t="n"/>
      <c r="B37" s="71" t="n"/>
      <c r="C37" s="64" t="inlineStr">
        <is>
          <t>FUNC 029</t>
        </is>
      </c>
      <c r="D37" s="66" t="inlineStr">
        <is>
          <t>Tra cứu chi tiết Biên lai nộp thuế điện tử và kiểm tra chức năng In biên lai</t>
        </is>
      </c>
      <c r="E37" s="66" t="inlineStr">
        <is>
          <t>1. Tại dòng tờ khai có trạng thái 'Đã nộp thuế', nhấn nút 'Xem biên lai'.
2. Kiểm tra các thông tin trên Giấy nộp tiền vào NSNN.
3. Nhấn nút 'In Biên Lai'.</t>
        </is>
      </c>
      <c r="F37" s="66" t="inlineStr">
        <is>
          <t>1. Gọi API GET /api/tax/receipt/{id}.
2. Hiển thị Mã giao dịch, Mã biên lai, Họ tên, MST, Số tiền, Thời gian, Con dấu.
3. Kích hoạt hộp thoại window.print().</t>
        </is>
      </c>
      <c r="G37" s="66" t="inlineStr">
        <is>
          <t>Hiển thị đầy đủ, chuẩn xác thông tin Biên lai nộp thuế điện tử và mở giao diện máy in thành công.</t>
        </is>
      </c>
      <c r="H37" s="67" t="inlineStr">
        <is>
          <t>Passed</t>
        </is>
      </c>
    </row>
    <row r="38" ht="42" customHeight="1">
      <c r="A38" s="62" t="n"/>
      <c r="B38" s="63" t="inlineStr">
        <is>
          <t>5. Quản trị Cán bộ thuế,
Báo cáo &amp; Cấu hình</t>
        </is>
      </c>
      <c r="C38" s="69" t="inlineStr">
        <is>
          <t>FUNC 030</t>
        </is>
      </c>
      <c r="D38" s="70" t="inlineStr">
        <is>
          <t>Admin theo dõi danh sách toàn bộ tờ khai và 3 thẻ thống kê số liệu thời gian thực</t>
        </is>
      </c>
      <c r="E38" s="70" t="inlineStr">
        <is>
          <t>1. Đăng nhập tài khoản 'admin' / 'Admin@123'.
2. Quan sát 3 thẻ chỉ số trên đầu trang /admin.html và bảng danh sách tờ khai.</t>
        </is>
      </c>
      <c r="F38" s="70" t="inlineStr">
        <is>
          <t>1. Đăng nhập thành công vào cổng Admin.
2. API /api/admin/declarations trả về danh sách tờ khai cùng totalCount, totalPaidTax, totalPendingTax.</t>
        </is>
      </c>
      <c r="G38" s="70" t="inlineStr">
        <is>
          <t>Hiển thị chính xác Tổng số tờ khai, Tổng thuế đã thu vào KBNN, Tổng thuế còn nợ và toàn bộ danh sách tờ khai.</t>
        </is>
      </c>
      <c r="H38" s="67" t="inlineStr">
        <is>
          <t>Passed</t>
        </is>
      </c>
    </row>
    <row r="39" ht="42" customHeight="1">
      <c r="A39" s="62" t="n"/>
      <c r="B39" s="68" t="n"/>
      <c r="C39" s="64" t="inlineStr">
        <is>
          <t>FUNC 031</t>
        </is>
      </c>
      <c r="D39" s="66" t="inlineStr">
        <is>
          <t>Admin lọc danh sách tờ khai theo Năm kê khai, Tháng kê khai và Trạng thái nộp thuế</t>
        </is>
      </c>
      <c r="E39" s="66" t="inlineStr">
        <is>
          <t>1. Tại trang /admin.html, chọn Năm = 2026, Tháng = Tháng 2, Trạng thái = 'Chờ đóng thuế (PENDING)'.
2. Nhấn nút 'Lọc Dữ Liệu'.</t>
        </is>
      </c>
      <c r="F39" s="66" t="inlineStr">
        <is>
          <t>1. Chọn tiêu chí trên thanh công cụ lọc.
2. DeclarationService lọc đúng các bản ghi có year=2026, month=2, status='PENDING'.</t>
        </is>
      </c>
      <c r="G39" s="66" t="inlineStr">
        <is>
          <t>Bảng kết quả chỉ hiển thị các tờ khai thỏa mãn đúng cả 3 điều kiện lọc và cập nhật lại số liệu thống kê.</t>
        </is>
      </c>
      <c r="H39" s="67" t="inlineStr">
        <is>
          <t>Passed</t>
        </is>
      </c>
    </row>
    <row r="40" ht="42" customHeight="1">
      <c r="A40" s="62" t="n"/>
      <c r="B40" s="68" t="n"/>
      <c r="C40" s="69" t="inlineStr">
        <is>
          <t>FUNC 032</t>
        </is>
      </c>
      <c r="D40" s="70" t="inlineStr">
        <is>
          <t>Admin tìm kiếm tờ khai theo từ khóa (Họ tên, Mã số thuế hoặc số CCCD)</t>
        </is>
      </c>
      <c r="E40" s="70" t="inlineStr">
        <is>
          <t>1. Tại ô 'Tìm kiếm (Tên / MST / CCCD)' trên /admin.html, nhập '0123456789' hoặc 'Trần Thị B'.
2. Nhấn nút 'Lọc Dữ Liệu'.</t>
        </is>
      </c>
      <c r="F40" s="70" t="inlineStr">
        <is>
          <t>1-2. Hệ thống so khớp từ khóa không phân biệt hoa thường với Họ tên, MST và CCCD của người nộp thuế.</t>
        </is>
      </c>
      <c r="G40" s="70" t="inlineStr">
        <is>
          <t>Hiển thị chính xác các tờ khai của người nộp thuế khớp với từ khóa tìm kiếm.</t>
        </is>
      </c>
      <c r="H40" s="67" t="inlineStr">
        <is>
          <t>Passed</t>
        </is>
      </c>
    </row>
    <row r="41" ht="42" customHeight="1">
      <c r="A41" s="62" t="n"/>
      <c r="B41" s="68" t="n"/>
      <c r="C41" s="64" t="inlineStr">
        <is>
          <t>FUNC 033</t>
        </is>
      </c>
      <c r="D41" s="66" t="inlineStr">
        <is>
          <t>Admin xuất báo cáo quyết toán thuế ra file CSV chuẩn UTF-8 BOM (mở trực tiếp bằng Excel)</t>
        </is>
      </c>
      <c r="E41" s="66" t="inlineStr">
        <is>
          <t>1. Tại trang /admin.html, nhấn nút 'Xuất Báo Cáo CSV (Excel)'.
2. Mở file bao_cao_thue_TNCN.csv vừa tải về bằng phần mềm Microsoft Excel.</t>
        </is>
      </c>
      <c r="F41" s="66" t="inlineStr">
        <is>
          <t>1. API GET /api/admin/export-csv trả về file đính kèm bắt đầu bằng byte UTF-8 BOM (\uFEFF).
2. Excel nhận diện đúng bảng mã UTF-8.</t>
        </is>
      </c>
      <c r="G41" s="66" t="inlineStr">
        <is>
          <t>Tải file CSV thành công, mở trên Microsoft Excel hiển thị đầy đủ 13 cột tiếng Việt có dấu rõ ràng, không lỗi font.</t>
        </is>
      </c>
      <c r="H41" s="67" t="inlineStr">
        <is>
          <t>Passed</t>
        </is>
      </c>
    </row>
    <row r="42" ht="58" customHeight="1">
      <c r="A42" s="62" t="n"/>
      <c r="B42" s="68" t="n"/>
      <c r="C42" s="69" t="inlineStr">
        <is>
          <t>FUNC 034</t>
        </is>
      </c>
      <c r="D42" s="70" t="inlineStr">
        <is>
          <t>Admin cập nhật cấu hình tham số giảm trừ gia cảnh và kiểm tra áp dụng ngay khi tính thuế</t>
        </is>
      </c>
      <c r="E42" s="70" t="inlineStr">
        <is>
          <t>1. Tại /admin.html, chuyển sang Tab '2. Cấu Hình Mức Giảm Trừ &amp; Bảo Hiểm'.
2. Đổi Giảm trừ bản thân thành 16.000.000đ, Giảm trừ NPT thành 6.500.000đ -&gt; Nhấn 'Lưu Cấu Hình Mới'.
3. Thực hiện tính thuế thử.</t>
        </is>
      </c>
      <c r="F42" s="70" t="inlineStr">
        <is>
          <t>1-2. API PUT /api/admin/config cập nhật ConfigService thành công (HTTP 200).
3. Phép tính thuế mới sử dụng ngay mức giảm trừ 16tr và 6,5tr.</t>
        </is>
      </c>
      <c r="G42" s="70" t="inlineStr">
        <is>
          <t>Cấu hình mới được lưu trữ và áp dụng tức thời vào thuật toán tính thuế của toàn hệ thống.</t>
        </is>
      </c>
      <c r="H42" s="67" t="inlineStr">
        <is>
          <t>Passed</t>
        </is>
      </c>
    </row>
    <row r="43" ht="42" customHeight="1">
      <c r="A43" s="62" t="n"/>
      <c r="B43" s="71" t="n"/>
      <c r="C43" s="64" t="inlineStr">
        <is>
          <t>FUNC 035</t>
        </is>
      </c>
      <c r="D43" s="66" t="inlineStr">
        <is>
          <t>Admin khôi phục cấu hình mặc định (Reset) và kiểm tra chặn nhập thông số cấu hình âm</t>
        </is>
      </c>
      <c r="E43" s="66" t="inlineStr">
        <is>
          <t>1. Tại Tab Cấu hình Admin, thử nhập Giảm trừ bản thân = -5.000.000đ -&gt; Nhấn Lưu.
2. Nhấn nút 'Khôi Phục Mặc Định' và xác nhận.</t>
        </is>
      </c>
      <c r="F43" s="66" t="inlineStr">
        <is>
          <t>1. Hệ thống chặn số âm và trả về HTTP 400 Bad Request.
2. API POST /api/admin/config/reset khôi phục cấu hình gốc.</t>
        </is>
      </c>
      <c r="G43" s="66" t="inlineStr">
        <is>
          <t>Chặn thông số âm thành công; khi Reset hệ thống quay về đúng chuẩn (Bản thân: 15.500.000đ, NPT: 6.200.000đ, BH: 10.5%).</t>
        </is>
      </c>
      <c r="H43" s="67" t="inlineStr">
        <is>
          <t>Passed</t>
        </is>
      </c>
    </row>
    <row r="44">
      <c r="A44" s="62" t="n"/>
      <c r="B44" s="62" t="n"/>
      <c r="C44" s="62" t="n"/>
      <c r="D44" s="62" t="n"/>
      <c r="E44" s="62" t="n"/>
      <c r="F44" s="62" t="n"/>
      <c r="G44" s="62" t="n"/>
      <c r="H44" s="62" t="n"/>
    </row>
    <row r="45">
      <c r="A45" s="62" t="n"/>
      <c r="B45" s="62" t="n"/>
      <c r="C45" s="62" t="n"/>
      <c r="D45" s="62" t="n"/>
      <c r="E45" s="62" t="n"/>
      <c r="F45" s="62" t="n"/>
      <c r="G45" s="62" t="n"/>
      <c r="H45" s="62" t="n"/>
    </row>
    <row r="46">
      <c r="A46" s="62" t="n"/>
      <c r="B46" s="62" t="n"/>
      <c r="C46" s="62" t="n"/>
      <c r="D46" s="62" t="n"/>
      <c r="E46" s="62" t="n"/>
      <c r="F46" s="62" t="n"/>
      <c r="G46" s="62" t="n"/>
      <c r="H46" s="62" t="n"/>
    </row>
    <row r="47">
      <c r="A47" s="62" t="n"/>
      <c r="B47" s="62" t="n"/>
      <c r="C47" s="62" t="n"/>
      <c r="D47" s="62" t="n"/>
      <c r="E47" s="62" t="n"/>
      <c r="F47" s="62" t="n"/>
      <c r="G47" s="62" t="n"/>
      <c r="H47" s="62" t="n"/>
    </row>
    <row r="48">
      <c r="A48" s="62" t="n"/>
      <c r="B48" s="62" t="n"/>
      <c r="C48" s="62" t="n"/>
      <c r="D48" s="62" t="n"/>
      <c r="E48" s="62" t="n"/>
      <c r="F48" s="62" t="n"/>
      <c r="G48" s="62" t="n"/>
      <c r="H48" s="62" t="n"/>
    </row>
    <row r="49">
      <c r="A49" s="62" t="n"/>
      <c r="B49" s="62" t="n"/>
      <c r="C49" s="62" t="n"/>
      <c r="D49" s="62" t="n"/>
      <c r="E49" s="62" t="n"/>
      <c r="F49" s="62" t="n"/>
      <c r="G49" s="62" t="n"/>
      <c r="H49" s="62" t="n"/>
    </row>
  </sheetData>
  <mergeCells count="12">
    <mergeCell ref="B9:B16"/>
    <mergeCell ref="E7:F7"/>
    <mergeCell ref="B29:B33"/>
    <mergeCell ref="B17:B28"/>
    <mergeCell ref="B34:B37"/>
    <mergeCell ref="C7:C8"/>
    <mergeCell ref="D7:D8"/>
    <mergeCell ref="G7:G8"/>
    <mergeCell ref="B7:B8"/>
    <mergeCell ref="H7:H8"/>
    <mergeCell ref="A1:H1"/>
    <mergeCell ref="B38:B43"/>
  </mergeCells>
  <dataValidations count="1">
    <dataValidation sqref="H9:H33" showDropDown="0" showInputMessage="1" showErrorMessage="1" allowBlank="1" type="list">
      <formula1>$G$2:$G$5</formula1>
    </dataValidation>
  </dataValidations>
  <pageMargins left="0.75" right="0.75" top="1" bottom="1" header="0.5" footer="0.5"/>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3"/>
  <sheetViews>
    <sheetView tabSelected="1" workbookViewId="0">
      <pane ySplit="8" topLeftCell="A9" activePane="bottomLeft" state="frozen"/>
      <selection pane="bottomLeft" activeCell="A9" sqref="A9"/>
    </sheetView>
  </sheetViews>
  <sheetFormatPr baseColWidth="10" defaultColWidth="8.83203125" defaultRowHeight="13"/>
  <cols>
    <col width="3" customWidth="1" min="1" max="1"/>
    <col width="24" customWidth="1" min="2" max="2"/>
    <col width="14" bestFit="1" customWidth="1" style="11" min="3" max="3"/>
    <col width="34" customWidth="1" min="4" max="4"/>
    <col width="46" customWidth="1" min="5" max="5"/>
    <col width="42" customWidth="1" min="6" max="6"/>
    <col width="38" customWidth="1" min="7" max="7"/>
    <col width="14" bestFit="1" customWidth="1" style="11" min="8" max="8"/>
  </cols>
  <sheetData>
    <row r="1" ht="24" customHeight="1">
      <c r="A1" s="44" t="inlineStr">
        <is>
          <t>Security &amp; Performance Test Cases - Hệ Thống Tính Thuế TNCN</t>
        </is>
      </c>
      <c r="B1" s="56" t="n"/>
      <c r="C1" s="56" t="n"/>
      <c r="D1" s="56" t="n"/>
      <c r="E1" s="56" t="n"/>
      <c r="F1" s="56" t="n"/>
      <c r="G1" s="56" t="n"/>
      <c r="H1" s="56" t="n"/>
    </row>
    <row r="2">
      <c r="G2" s="12" t="inlineStr">
        <is>
          <t>Passed</t>
        </is>
      </c>
      <c r="H2" s="9">
        <f>COUNTIF($H$9:$H$2001, "Passed")</f>
        <v/>
      </c>
    </row>
    <row r="3">
      <c r="G3" s="12" t="inlineStr">
        <is>
          <t>Failed</t>
        </is>
      </c>
      <c r="H3" s="9">
        <f>COUNTIF($H$9:$H$2001, "Failed")</f>
        <v/>
      </c>
    </row>
    <row r="4">
      <c r="C4" s="13" t="n"/>
      <c r="G4" s="12" t="inlineStr">
        <is>
          <t>Not Run</t>
        </is>
      </c>
      <c r="H4" s="9">
        <f>COUNTIF($H$9:$H$2001, "Not Run")</f>
        <v/>
      </c>
    </row>
    <row r="5">
      <c r="G5" s="12" t="inlineStr">
        <is>
          <t>Not Completed</t>
        </is>
      </c>
      <c r="H5" s="9">
        <f>COUNTIF($H$9:$H$2001, "Not Completed")</f>
        <v/>
      </c>
    </row>
    <row r="6">
      <c r="G6" s="12" t="inlineStr">
        <is>
          <t>Number of test cases</t>
        </is>
      </c>
      <c r="H6" s="9">
        <f>COUNTA(C9:C2000)</f>
        <v/>
      </c>
    </row>
    <row r="7">
      <c r="B7" s="8" t="inlineStr">
        <is>
          <t>Category</t>
        </is>
      </c>
      <c r="C7" s="8" t="inlineStr">
        <is>
          <t>Test Case ID</t>
        </is>
      </c>
      <c r="D7" s="8" t="inlineStr">
        <is>
          <t>Test Case Description</t>
        </is>
      </c>
      <c r="E7" s="8" t="inlineStr">
        <is>
          <t>Test Procedures</t>
        </is>
      </c>
      <c r="F7" s="50" t="n"/>
      <c r="G7" s="8" t="inlineStr">
        <is>
          <t>Test Case Expected Result</t>
        </is>
      </c>
      <c r="H7" s="8" t="inlineStr">
        <is>
          <t>Status</t>
        </is>
      </c>
    </row>
    <row r="8" ht="14" customHeight="1">
      <c r="B8" s="61" t="n"/>
      <c r="C8" s="61" t="n"/>
      <c r="D8" s="61" t="n"/>
      <c r="E8" s="8" t="inlineStr">
        <is>
          <t>Steps to Perform</t>
        </is>
      </c>
      <c r="F8" s="8" t="inlineStr">
        <is>
          <t>Step Expected Result</t>
        </is>
      </c>
      <c r="G8" s="61" t="n"/>
      <c r="H8" s="61" t="n"/>
    </row>
    <row r="9" ht="42" customHeight="1">
      <c r="A9" s="62" t="n"/>
      <c r="B9" s="63" t="inlineStr">
        <is>
          <t>1. Kiểm thử Bảo mật
&amp; Phân quyền (Security)</t>
        </is>
      </c>
      <c r="C9" s="64" t="inlineStr">
        <is>
          <t>SEC 001</t>
        </is>
      </c>
      <c r="D9" s="65" t="inlineStr">
        <is>
          <t>Kiểm tra chặn người dùng chưa đăng nhập (Guest) truy cập trực tiếp trang /dashboard.html và /admin.html</t>
        </is>
      </c>
      <c r="E9" s="66" t="inlineStr">
        <is>
          <t>1. Mở trình duyệt ẩn danh (chưa đăng nhập).
2. Nhập trực tiếp địa chỉ http://localhost:8080/dashboard.html và http://localhost:8080/admin.html.</t>
        </is>
      </c>
      <c r="F9" s="66" t="inlineStr">
        <is>
          <t>1. Hàm checkAuth() gọi /api/auth/me nhận HTTP 401.
2. Hiển thị cảnh báo và tự động chuyển hướng (redirect) về /index.html.</t>
        </is>
      </c>
      <c r="G9" s="66" t="inlineStr">
        <is>
          <t>Người dùng chưa xác thực bị chặn hoàn toàn, không thể xem hoặc thao tác trên trang nội bộ.</t>
        </is>
      </c>
      <c r="H9" s="67" t="inlineStr">
        <is>
          <t>Passed</t>
        </is>
      </c>
    </row>
    <row r="10" ht="42" customHeight="1">
      <c r="A10" s="62" t="n"/>
      <c r="B10" s="68" t="n"/>
      <c r="C10" s="69" t="inlineStr">
        <is>
          <t>SEC 002</t>
        </is>
      </c>
      <c r="D10" s="70" t="inlineStr">
        <is>
          <t>Kiểm tra chặn gọi trực tiếp các REST API nghiệp vụ (/api/tax/declare, /api/tax/pay) khi chưa đăng nhập</t>
        </is>
      </c>
      <c r="E10" s="70" t="inlineStr">
        <is>
          <t>1. Không truyền Session Cookie, gửi request POST tới /api/tax/declare và /api/tax/pay.
2. Kiểm tra mã trạng thái HTTP trả về.</t>
        </is>
      </c>
      <c r="F10" s="70" t="inlineStr">
        <is>
          <t>1. TaxApiController kiểm tra session.getAttribute('user') == null.
2. Trả về mã lỗi HTTP 401 Unauthorized.</t>
        </is>
      </c>
      <c r="G10" s="70" t="inlineStr">
        <is>
          <t>API từ chối xử lý yêu cầu trái phép và trả về thông báo yêu cầu đăng nhập.</t>
        </is>
      </c>
      <c r="H10" s="67" t="inlineStr">
        <is>
          <t>Passed</t>
        </is>
      </c>
    </row>
    <row r="11" ht="42" customHeight="1">
      <c r="A11" s="62" t="n"/>
      <c r="B11" s="68" t="n"/>
      <c r="C11" s="64" t="inlineStr">
        <is>
          <t>SEC 003</t>
        </is>
      </c>
      <c r="D11" s="66" t="inlineStr">
        <is>
          <t>Kiểm tra phân quyền RBAC: Chặn tài khoản Người nộp thuế (TAXPAYER) gọi các API của Admin</t>
        </is>
      </c>
      <c r="E11" s="66" t="inlineStr">
        <is>
          <t>1. Đăng nhập bằng tài khoản 'nguyenvana' (vai trò TAXPAYER).
2. Gửi request tới /api/admin/declarations, /api/admin/export-csv và PUT /api/admin/config.</t>
        </is>
      </c>
      <c r="F11" s="66" t="inlineStr">
        <is>
          <t>1. AdminApiController.isAdmin(session) kiểm tra role != 'ADMIN'.
2. Tất cả các endpoint trả về HTTP 403 Forbidden.</t>
        </is>
      </c>
      <c r="G11" s="66" t="inlineStr">
        <is>
          <t>Chặn leo thang đặc quyền thành công, trả về HTTP 403: 'Từ chối truy cập! Chỉ dành cho Cán bộ thuế (Admin)'.</t>
        </is>
      </c>
      <c r="H11" s="67" t="inlineStr">
        <is>
          <t>Passed</t>
        </is>
      </c>
    </row>
    <row r="12" ht="42" customHeight="1">
      <c r="A12" s="62" t="n"/>
      <c r="B12" s="68" t="n"/>
      <c r="C12" s="69" t="inlineStr">
        <is>
          <t>SEC 004</t>
        </is>
      </c>
      <c r="D12" s="70" t="inlineStr">
        <is>
          <t>Kiểm tra hủy phiên làm việc (Session Invalidation) sau khi người dùng Đăng xuất</t>
        </is>
      </c>
      <c r="E12" s="70" t="inlineStr">
        <is>
          <t>1. Đăng nhập tài khoản 'nguyenvana', thực hiện nhấn 'Đăng xuất' (POST /api/auth/logout).
2. Thử gọi lại API GET /api/tax/my-declarations bằng phiên cũ.</t>
        </is>
      </c>
      <c r="F12" s="70" t="inlineStr">
        <is>
          <t>1. session.invalidate() xóa sạch dữ liệu phiên trên máy chủ.
2. Request tiếp theo nhận mã HTTP 401 Unauthorized.</t>
        </is>
      </c>
      <c r="G12" s="70" t="inlineStr">
        <is>
          <t>Phiên làm việc bị hủy hoàn toàn sau khi đăng xuất, chống tái sử dụng phiên cũ.</t>
        </is>
      </c>
      <c r="H12" s="67" t="inlineStr">
        <is>
          <t>Passed</t>
        </is>
      </c>
    </row>
    <row r="13" ht="42" customHeight="1">
      <c r="A13" s="62" t="n"/>
      <c r="B13" s="68" t="n"/>
      <c r="C13" s="64" t="inlineStr">
        <is>
          <t>SEC 005</t>
        </is>
      </c>
      <c r="D13" s="66" t="inlineStr">
        <is>
          <t>Kiểm tra an toàn dữ liệu khi gửi giá trị số học đặc biệt (NaN, Infinity, số âm cực lớn) vào API</t>
        </is>
      </c>
      <c r="E13" s="66" t="inlineStr">
        <is>
          <t>1. Gửi payload có grossSalary = -999999999 hoặc giá trị vượt ngưỡng 1.000 tỷ VNĐ vào API kê khai.
2. Kiểm tra phản hồi của ValidationUtil và TaxCalculatorService.</t>
        </is>
      </c>
      <c r="F13" s="66" t="inlineStr">
        <is>
          <t>1. ValidationUtil.isValidIncome() chặn NaN, Infinity, số âm.
2. TaxCalculatorService chuẩn hóa Math.max(0, val).</t>
        </is>
      </c>
      <c r="G13" s="66" t="inlineStr">
        <is>
          <t>Hệ thống xử lý an toàn, không xảy ra lỗi tràn số hoặc sập máy chủ (HTTP 500).</t>
        </is>
      </c>
      <c r="H13" s="67" t="inlineStr">
        <is>
          <t>Passed</t>
        </is>
      </c>
    </row>
    <row r="14" ht="42" customHeight="1">
      <c r="A14" s="62" t="n"/>
      <c r="B14" s="68" t="n"/>
      <c r="C14" s="69" t="inlineStr">
        <is>
          <t>SEC 006</t>
        </is>
      </c>
      <c r="D14" s="70" t="inlineStr">
        <is>
          <t>Kiểm tra không lộ mật khẩu người dùng trên giao diện và phản hồi API xác thực (/api/auth/me)</t>
        </is>
      </c>
      <c r="E14" s="70" t="inlineStr">
        <is>
          <t>1. Đăng nhập vào hệ thống, mở DevTools (Network) kiểm tra gói tin JSON trả về từ /api/auth/login và /api/auth/me.</t>
        </is>
      </c>
      <c r="F14" s="70" t="inlineStr">
        <is>
          <t>1. AuthController.sanitizeUser() chỉ trích xuất id, username, fullName, email, phone, taxCode, citizenId, role.
2. Trường password bị loại bỏ hoàn toàn.</t>
        </is>
      </c>
      <c r="G14" s="70" t="inlineStr">
        <is>
          <t>Mật khẩu không bao giờ bị trả về trong phản hồi JSON của các API xác thực.</t>
        </is>
      </c>
      <c r="H14" s="67" t="inlineStr">
        <is>
          <t>Passed</t>
        </is>
      </c>
    </row>
    <row r="15" ht="42" customHeight="1">
      <c r="A15" s="62" t="n"/>
      <c r="B15" s="71" t="n"/>
      <c r="C15" s="64" t="inlineStr">
        <is>
          <t>SEC 007</t>
        </is>
      </c>
      <c r="D15" s="66" t="inlineStr">
        <is>
          <t>Kiểm tra tính toàn vẹn giao dịch: Chặn đóng thuế cho mã tờ khai giả mạo hoặc không tồn tại</t>
        </is>
      </c>
      <c r="E15" s="66" t="inlineStr">
        <is>
          <t>1. Đăng nhập tài khoản hợp lệ.
2. Gửi yêu cầu POST /api/tax/pay với declarationId = 'DEC-FAKE-99999'.</t>
        </is>
      </c>
      <c r="F15" s="66" t="inlineStr">
        <is>
          <t>1. PaymentService tra cứu tờ khai trong DeclarationService trả về Optional.empty().
2. Ném IllegalArgumentException -&gt; HTTP 400.</t>
        </is>
      </c>
      <c r="G15" s="66" t="inlineStr">
        <is>
          <t>Hệ thống từ chối giao dịch và báo lỗi: 'Không tìm thấy tờ khai thuế: DEC-FAKE-99999'.</t>
        </is>
      </c>
      <c r="H15" s="67" t="inlineStr">
        <is>
          <t>Passed</t>
        </is>
      </c>
    </row>
    <row r="16" ht="42" customHeight="1">
      <c r="A16" s="62" t="n"/>
      <c r="B16" s="63" t="inlineStr">
        <is>
          <t>2. Kiểm thử Hiệu năng
&amp; Chịu tải (Performance)</t>
        </is>
      </c>
      <c r="C16" s="69" t="inlineStr">
        <is>
          <t>PERF 008</t>
        </is>
      </c>
      <c r="D16" s="70" t="inlineStr">
        <is>
          <t>Kiểm tra thời gian phản hồi của API Tính thuế TNCN nhanh (/api/tax/calculate)</t>
        </is>
      </c>
      <c r="E16" s="70" t="inlineStr">
        <is>
          <t>1. Gửi yêu cầu POST /api/tax/calculate với bộ dữ liệu thu nhập đầy đủ.
2. Đo thời gian xử lý và phản hồi trên trình duyệt (Network tab).</t>
        </is>
      </c>
      <c r="F16" s="70" t="inlineStr">
        <is>
          <t>1. Thuật toán 5 bậc chạy hoàn toàn trong bộ nhớ RAM.
2. Thời gian phản hồi đo được từ 5ms - 25ms (&lt; ngưỡng yêu cầu 100ms).</t>
        </is>
      </c>
      <c r="G16" s="70" t="inlineStr">
        <is>
          <t>API tính thuế phản hồi tức thì (&lt; 25ms), đảm bảo trải nghiệm mượt mà.</t>
        </is>
      </c>
      <c r="H16" s="67" t="inlineStr">
        <is>
          <t>Passed</t>
        </is>
      </c>
    </row>
    <row r="17" ht="42" customHeight="1">
      <c r="A17" s="62" t="n"/>
      <c r="B17" s="68" t="n"/>
      <c r="C17" s="64" t="inlineStr">
        <is>
          <t>PERF 009</t>
        </is>
      </c>
      <c r="D17" s="66" t="inlineStr">
        <is>
          <t>Kiểm tra hiệu năng tự động tính thuế thời gian thực (Live Preview) khi gõ phím liên tục</t>
        </is>
      </c>
      <c r="E17" s="66" t="inlineStr">
        <is>
          <t>1. Tại trang /dashboard.html, gõ thay đổi liên tục các con số trong ô Lương chính, Thưởng, Người phụ thuộc.
2. Quan sát tốc độ cập nhật của Bảng Tính Thuế Tự Động bên phải.</t>
        </is>
      </c>
      <c r="F17" s="66" t="inlineStr">
        <is>
          <t>1. Sự kiện 'input' kích hoạt hàm previewCalc() bất đồng bộ (async/await).
2. Giao diện cập nhật ngay lập tức không bị giật lag hay đơ trang.</t>
        </is>
      </c>
      <c r="G17" s="66" t="inlineStr">
        <is>
          <t>Bảng tính thuế tự động cập nhật mượt mà theo thời gian thực với độ trễ bằng 0.</t>
        </is>
      </c>
      <c r="H17" s="67" t="inlineStr">
        <is>
          <t>Passed</t>
        </is>
      </c>
    </row>
    <row r="18" ht="42" customHeight="1">
      <c r="A18" s="62" t="n"/>
      <c r="B18" s="68" t="n"/>
      <c r="C18" s="69" t="inlineStr">
        <is>
          <t>PERF 010</t>
        </is>
      </c>
      <c r="D18" s="70" t="inlineStr">
        <is>
          <t>Kiểm tra khả năng xử lý đồng thời (Concurrency) và tính an toàn luồng (Thread-safety)</t>
        </is>
      </c>
      <c r="E18" s="70" t="inlineStr">
        <is>
          <t>1. Thực thi đồng thời 100 yêu cầu tính thuế, tạo tờ khai và đóng thuế song song.
2. Kiểm tra tính toàn vẹn của mã tờ khai (AtomicLong) và dữ liệu trong ConcurrentHashMap.</t>
        </is>
      </c>
      <c r="F18" s="70" t="inlineStr">
        <is>
          <t>1. Không xảy ra xung đột ghi (Race Condition) hay ConcurrentModificationException.
2. 100% yêu cầu trả về HTTP 200 OK, các mã DEC-xxxx không bị trùng lặp.</t>
        </is>
      </c>
      <c r="G18" s="70" t="inlineStr">
        <is>
          <t>Hệ thống chịu tải đồng thời ổn định, tỷ lệ lỗi 0%, dữ liệu đồng bộ tuyệt đối.</t>
        </is>
      </c>
      <c r="H18" s="67" t="inlineStr">
        <is>
          <t>Passed</t>
        </is>
      </c>
    </row>
    <row r="19" ht="42" customHeight="1">
      <c r="A19" s="62" t="n"/>
      <c r="B19" s="68" t="n"/>
      <c r="C19" s="64" t="inlineStr">
        <is>
          <t>PERF 011</t>
        </is>
      </c>
      <c r="D19" s="66" t="inlineStr">
        <is>
          <t>Kiểm tra tốc độ kết xuất và tải xuống file báo cáo quyết toán CSV (/api/admin/export-csv)</t>
        </is>
      </c>
      <c r="E19" s="66" t="inlineStr">
        <is>
          <t>1. Đăng nhập Admin, nhấn nút 'Xuất Báo Cáo CSV (Excel)'.
2. Đo thời gian từ lúc nhấn nút đến khi trình duyệt tải xong file CSV.</t>
        </is>
      </c>
      <c r="F19" s="66" t="inlineStr">
        <is>
          <t>1. Chuỗi CSV được tạo bằng StringBuilder trong bộ nhớ.
2. Thời gian phản hồi và tải xuống &lt; 100ms.</t>
        </is>
      </c>
      <c r="G19" s="66" t="inlineStr">
        <is>
          <t>Kết xuất báo cáo CSV nhanh chóng (&lt; 100ms), không gây nghẽn bộ nhớ máy chủ.</t>
        </is>
      </c>
      <c r="H19" s="67" t="inlineStr">
        <is>
          <t>Passed</t>
        </is>
      </c>
    </row>
    <row r="20" ht="42" customHeight="1">
      <c r="A20" s="62" t="n"/>
      <c r="B20" s="71" t="n"/>
      <c r="C20" s="69" t="inlineStr">
        <is>
          <t>PERF 012</t>
        </is>
      </c>
      <c r="D20" s="70" t="inlineStr">
        <is>
          <t>Kiểm tra tốc độ thực thi toàn bộ 98 Unit Tests tự động và sinh báo cáo JaCoCo Coverage</t>
        </is>
      </c>
      <c r="E20" s="70" t="inlineStr">
        <is>
          <t>1. Chạy script test.bat (hoặc lệnh mvn test jacoco:report).
2. Đo tổng thời gian chạy 9 lớp kiểm thử (98 Test Cases) và xuất báo cáo HTML.</t>
        </is>
      </c>
      <c r="F20" s="70" t="inlineStr">
        <is>
          <t>1. Maven Surefire thực thi 98 Unit Tests.
2. Tổng thời gian chạy bộ test chỉ khoảng 3 - 5 giây, Passed 98/98, Coverage &gt; 90%.</t>
        </is>
      </c>
      <c r="G20" s="70" t="inlineStr">
        <is>
          <t>Bộ kiểm thử tự động thực thi tốc độ cao, đạt 100% Pass và sinh báo cáo độ phủ hoàn chỉnh.</t>
        </is>
      </c>
      <c r="H20" s="67" t="inlineStr">
        <is>
          <t>Passed</t>
        </is>
      </c>
    </row>
    <row r="21">
      <c r="A21" s="62" t="n"/>
      <c r="B21" s="62" t="n"/>
      <c r="C21" s="72" t="n"/>
      <c r="D21" s="62" t="n"/>
      <c r="E21" s="62" t="n"/>
      <c r="F21" s="62" t="n"/>
      <c r="G21" s="62" t="n"/>
      <c r="H21" s="73" t="n"/>
    </row>
    <row r="22">
      <c r="A22" s="62" t="n"/>
      <c r="B22" s="62" t="n"/>
      <c r="C22" s="72" t="n"/>
      <c r="D22" s="62" t="n"/>
      <c r="E22" s="62" t="n"/>
      <c r="F22" s="62" t="n"/>
      <c r="G22" s="62" t="n"/>
      <c r="H22" s="73" t="n"/>
    </row>
    <row r="23">
      <c r="A23" s="62" t="n"/>
      <c r="B23" s="62" t="n"/>
      <c r="C23" s="74" t="n"/>
      <c r="D23" s="62" t="n"/>
      <c r="E23" s="62" t="n"/>
      <c r="F23" s="62" t="n"/>
      <c r="G23" s="62" t="n"/>
      <c r="H23" s="73" t="n"/>
    </row>
    <row r="24">
      <c r="A24" s="62" t="n"/>
      <c r="B24" s="62" t="n"/>
      <c r="C24" s="74" t="n"/>
      <c r="D24" s="62" t="n"/>
      <c r="E24" s="62" t="n"/>
      <c r="F24" s="62" t="n"/>
      <c r="G24" s="62" t="n"/>
      <c r="H24" s="73" t="n"/>
    </row>
    <row r="25">
      <c r="A25" s="62" t="n"/>
      <c r="B25" s="62" t="n"/>
      <c r="C25" s="74" t="n"/>
      <c r="D25" s="62" t="n"/>
      <c r="E25" s="62" t="n"/>
      <c r="F25" s="62" t="n"/>
      <c r="G25" s="62" t="n"/>
      <c r="H25" s="73" t="n"/>
    </row>
    <row r="26" ht="12.75" customHeight="1">
      <c r="A26" s="62" t="n"/>
      <c r="B26" s="62" t="n"/>
      <c r="C26" s="74" t="n"/>
      <c r="D26" s="62" t="n"/>
      <c r="E26" s="62" t="n"/>
      <c r="F26" s="62" t="n"/>
      <c r="G26" s="62" t="n"/>
      <c r="H26" s="73" t="n"/>
    </row>
    <row r="27">
      <c r="A27" s="62" t="n"/>
      <c r="B27" s="62" t="n"/>
      <c r="C27" s="74" t="n"/>
      <c r="D27" s="62" t="n"/>
      <c r="E27" s="62" t="n"/>
      <c r="F27" s="62" t="n"/>
      <c r="G27" s="62" t="n"/>
      <c r="H27" s="73" t="n"/>
    </row>
    <row r="28">
      <c r="A28" s="62" t="n"/>
      <c r="B28" s="62" t="n"/>
      <c r="C28" s="74" t="n"/>
      <c r="D28" s="62" t="n"/>
      <c r="E28" s="62" t="n"/>
      <c r="F28" s="62" t="n"/>
      <c r="G28" s="62" t="n"/>
      <c r="H28" s="73" t="n"/>
    </row>
    <row r="29">
      <c r="A29" s="62" t="n"/>
      <c r="B29" s="62" t="n"/>
      <c r="C29" s="74" t="n"/>
      <c r="D29" s="62" t="n"/>
      <c r="E29" s="62" t="n"/>
      <c r="F29" s="62" t="n"/>
      <c r="G29" s="62" t="n"/>
      <c r="H29" s="73" t="n"/>
    </row>
    <row r="30">
      <c r="A30" s="62" t="n"/>
      <c r="B30" s="62" t="n"/>
      <c r="C30" s="74" t="n"/>
      <c r="D30" s="62" t="n"/>
      <c r="E30" s="62" t="n"/>
      <c r="F30" s="62" t="n"/>
      <c r="G30" s="62" t="n"/>
      <c r="H30" s="73" t="n"/>
    </row>
    <row r="31">
      <c r="A31" s="62" t="n"/>
      <c r="B31" s="62" t="n"/>
      <c r="C31" s="74" t="n"/>
      <c r="D31" s="62" t="n"/>
      <c r="E31" s="62" t="n"/>
      <c r="F31" s="62" t="n"/>
      <c r="G31" s="62" t="n"/>
      <c r="H31" s="73" t="n"/>
    </row>
    <row r="32">
      <c r="A32" s="62" t="n"/>
      <c r="B32" s="62" t="n"/>
      <c r="C32" s="74" t="n"/>
      <c r="D32" s="62" t="n"/>
      <c r="E32" s="62" t="n"/>
      <c r="F32" s="62" t="n"/>
      <c r="G32" s="62" t="n"/>
      <c r="H32" s="73" t="n"/>
    </row>
    <row r="33">
      <c r="A33" s="62" t="n"/>
      <c r="B33" s="62" t="n"/>
      <c r="C33" s="74" t="n"/>
      <c r="D33" s="62" t="n"/>
      <c r="E33" s="62" t="n"/>
      <c r="F33" s="62" t="n"/>
      <c r="G33" s="62" t="n"/>
      <c r="H33" s="73" t="n"/>
    </row>
  </sheetData>
  <mergeCells count="9">
    <mergeCell ref="E7:F7"/>
    <mergeCell ref="B9:B15"/>
    <mergeCell ref="D7:D8"/>
    <mergeCell ref="B7:B8"/>
    <mergeCell ref="C7:C8"/>
    <mergeCell ref="G7:G8"/>
    <mergeCell ref="H7:H8"/>
    <mergeCell ref="A1:H1"/>
    <mergeCell ref="B16:B20"/>
  </mergeCells>
  <dataValidations count="1">
    <dataValidation sqref="H9:H33" showDropDown="0" showInputMessage="1" showErrorMessage="1" allowBlank="1" type="list">
      <formula1>$G$2:$G$5</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3"/>
  <sheetViews>
    <sheetView workbookViewId="0">
      <pane ySplit="8" topLeftCell="A9" activePane="bottomLeft" state="frozen"/>
      <selection pane="bottomLeft" activeCell="A9" sqref="A9"/>
    </sheetView>
  </sheetViews>
  <sheetFormatPr baseColWidth="10" defaultColWidth="8.83203125" defaultRowHeight="13"/>
  <cols>
    <col width="3" customWidth="1" min="1" max="1"/>
    <col width="24" customWidth="1" min="2" max="2"/>
    <col width="14" bestFit="1" customWidth="1" style="11" min="3" max="3"/>
    <col width="34" customWidth="1" min="4" max="4"/>
    <col width="46" customWidth="1" min="5" max="5"/>
    <col width="42" customWidth="1" min="6" max="6"/>
    <col width="38" customWidth="1" min="7" max="7"/>
    <col width="14" bestFit="1" customWidth="1" style="11" min="8" max="8"/>
  </cols>
  <sheetData>
    <row r="1" ht="24" customHeight="1">
      <c r="A1" s="44" t="inlineStr">
        <is>
          <t>GUI &amp; Usability Test Cases - Hệ Thống Tính Thuế TNCN</t>
        </is>
      </c>
      <c r="B1" s="56" t="n"/>
      <c r="C1" s="56" t="n"/>
      <c r="D1" s="56" t="n"/>
      <c r="E1" s="56" t="n"/>
      <c r="F1" s="56" t="n"/>
      <c r="G1" s="56" t="n"/>
      <c r="H1" s="56" t="n"/>
    </row>
    <row r="2" ht="14" customHeight="1">
      <c r="B2" s="16" t="inlineStr">
        <is>
          <t>Kiểm thử Giao diện người dùng (GUI), Trải nghiệm người dùng (UX) và Tính tương thích trình duyệt</t>
        </is>
      </c>
      <c r="G2" s="12" t="inlineStr">
        <is>
          <t>Passed</t>
        </is>
      </c>
      <c r="H2" s="9">
        <f>COUNTIF($H$9:$H$2001, "Passed")</f>
        <v/>
      </c>
    </row>
    <row r="3">
      <c r="G3" s="12" t="inlineStr">
        <is>
          <t>Failed</t>
        </is>
      </c>
      <c r="H3" s="9">
        <f>COUNTIF($H$9:$H$2001, "Failed")</f>
        <v/>
      </c>
    </row>
    <row r="4">
      <c r="C4" s="13" t="n"/>
      <c r="G4" s="12" t="inlineStr">
        <is>
          <t>Not Run</t>
        </is>
      </c>
      <c r="H4" s="9">
        <f>COUNTIF($H$9:$H$2001, "Not Run")</f>
        <v/>
      </c>
    </row>
    <row r="5">
      <c r="G5" s="12" t="inlineStr">
        <is>
          <t>Not Completed</t>
        </is>
      </c>
      <c r="H5" s="9">
        <f>COUNTIF($H$9:$H$2001, "Not Completed")</f>
        <v/>
      </c>
    </row>
    <row r="6">
      <c r="G6" s="12" t="inlineStr">
        <is>
          <t>Number of test cases</t>
        </is>
      </c>
      <c r="H6" s="9">
        <f>COUNTA(C9:C2000)</f>
        <v/>
      </c>
    </row>
    <row r="7">
      <c r="B7" s="8" t="inlineStr">
        <is>
          <t>Category</t>
        </is>
      </c>
      <c r="C7" s="8" t="inlineStr">
        <is>
          <t>Test Case ID</t>
        </is>
      </c>
      <c r="D7" s="8" t="inlineStr">
        <is>
          <t>Test Case Description</t>
        </is>
      </c>
      <c r="E7" s="8" t="inlineStr">
        <is>
          <t>Test Procedures</t>
        </is>
      </c>
      <c r="F7" s="50" t="n"/>
      <c r="G7" s="8" t="inlineStr">
        <is>
          <t>Test Case Expected Result</t>
        </is>
      </c>
      <c r="H7" s="8" t="inlineStr">
        <is>
          <t>Status</t>
        </is>
      </c>
    </row>
    <row r="8" ht="14" customHeight="1">
      <c r="B8" s="61" t="n"/>
      <c r="C8" s="61" t="n"/>
      <c r="D8" s="61" t="n"/>
      <c r="E8" s="8" t="inlineStr">
        <is>
          <t>Steps to Perform</t>
        </is>
      </c>
      <c r="F8" s="8" t="inlineStr">
        <is>
          <t>Step Expected Result</t>
        </is>
      </c>
      <c r="G8" s="61" t="n"/>
      <c r="H8" s="61" t="n"/>
    </row>
    <row r="9" ht="42" customHeight="1">
      <c r="A9" s="62" t="n"/>
      <c r="B9" s="63" t="inlineStr">
        <is>
          <t>1. Giao diện Trang chủ
&amp; Xác thực (GUI)</t>
        </is>
      </c>
      <c r="C9" s="64" t="inlineStr">
        <is>
          <t>GUI 001</t>
        </is>
      </c>
      <c r="D9" s="65" t="inlineStr">
        <is>
          <t>Kiểm tra bố cục tổng thể Trang chủ (/index.html), thanh Navbar và bảng Biểu thuế 5 bậc</t>
        </is>
      </c>
      <c r="E9" s="66" t="inlineStr">
        <is>
          <t>1. Truy cập http://localhost:8080/index.html trên trình duyệt Chrome.
2. Kiểm tra hiển thị Header, Banner giới thiệu, Công cụ tính thuế nhanh và Bảng biểu thuế lũy tiến 5 bậc.</t>
        </is>
      </c>
      <c r="F9" s="66" t="inlineStr">
        <is>
          <t>1. Trang tải đầy đủ CSS Bootstrap 5, FontAwesome 6 và /css/style.css.
2. Các khối hiển thị cân đối, phông chữ tiếng Việt rõ nét, không bị vỡ khung.</t>
        </is>
      </c>
      <c r="G9" s="66" t="inlineStr">
        <is>
          <t>Giao diện trang chủ hiển thị trực quan, chuyên nghiệp, đúng thiết kế chuẩn của cổng thuế điện tử.</t>
        </is>
      </c>
      <c r="H9" s="67" t="inlineStr">
        <is>
          <t>Passed</t>
        </is>
      </c>
    </row>
    <row r="10" ht="42" customHeight="1">
      <c r="A10" s="62" t="n"/>
      <c r="B10" s="68" t="n"/>
      <c r="C10" s="69" t="inlineStr">
        <is>
          <t>GUI 002</t>
        </is>
      </c>
      <c r="D10" s="70" t="inlineStr">
        <is>
          <t>Kiểm tra tính năng nút điền nhanh tài khoản mẫu (1-click Quick Fill) trên Modal Đăng nhập</t>
        </is>
      </c>
      <c r="E10" s="70" t="inlineStr">
        <is>
          <t>1. Nhấn nút 'Đăng Nhập' trên thanh điều hướng.
2. Nhấp vào nút 'Điền TK Người nộp thuế (nguyenvana)' và sau đó nhấp 'Điền TK Cán bộ thuế (admin)'.</t>
        </is>
      </c>
      <c r="F10" s="70" t="inlineStr">
        <is>
          <t>1. Mở Modal Đăng nhập.
2. Các ô Tên đăng nhập và Mật khẩu tự động được điền chính xác thông tin tài khoản tương ứng.</t>
        </is>
      </c>
      <c r="G10" s="70" t="inlineStr">
        <is>
          <t>Nút điền nhanh hoạt động tiện lợi, giúp kiểm thử viên và người dùng đăng nhập nhanh chỉ với 1 cú nhấp chuột.</t>
        </is>
      </c>
      <c r="H10" s="67" t="inlineStr">
        <is>
          <t>Passed</t>
        </is>
      </c>
    </row>
    <row r="11" ht="42" customHeight="1">
      <c r="A11" s="62" t="n"/>
      <c r="B11" s="71" t="n"/>
      <c r="C11" s="64" t="inlineStr">
        <is>
          <t>GUI 003</t>
        </is>
      </c>
      <c r="D11" s="66" t="inlineStr">
        <is>
          <t>Kiểm tra định dạng hiển thị tiền tệ chuẩn Việt Nam (dấu chấm phân cách hàng nghìn và ký hiệu 'đ')</t>
        </is>
      </c>
      <c r="E11" s="66" t="inlineStr">
        <is>
          <t>1. Thực hiện tính thuế trên trang chủ và trang dashboard.
2. Quan sát định dạng hiển thị các con số tiền lương, giảm trừ, bảo hiểm và tiền thuế.</t>
        </is>
      </c>
      <c r="F11" s="66" t="inlineStr">
        <is>
          <t>1-2. Hàm formatVnd() định dạng mọi số tiền theo chuẩn 'xx.xxx.xxx đ' (VD: '15.500.000 đ', '481.250 đ').</t>
        </is>
      </c>
      <c r="G11" s="66" t="inlineStr">
        <is>
          <t>Toàn bộ số liệu tiền tệ trên hệ thống hiển thị dấu chấm phân cách rõ ràng, dễ đọc, không bị hiển thị dạng số thập phân thô.</t>
        </is>
      </c>
      <c r="H11" s="67" t="inlineStr">
        <is>
          <t>Passed</t>
        </is>
      </c>
    </row>
    <row r="12" ht="42" customHeight="1">
      <c r="A12" s="62" t="n"/>
      <c r="B12" s="63" t="inlineStr">
        <is>
          <t>2. Giao diện Bảng điều khiển
Người nộp thuế (GUI)</t>
        </is>
      </c>
      <c r="C12" s="69" t="inlineStr">
        <is>
          <t>GUI 004</t>
        </is>
      </c>
      <c r="D12" s="70" t="inlineStr">
        <is>
          <t>Kiểm tra thẻ thông tin định danh cá nhân (User Header Card) trên trang /dashboard.html</t>
        </is>
      </c>
      <c r="E12" s="70" t="inlineStr">
        <is>
          <t>1. Đăng nhập tài khoản 'nguyenvana'.
2. Quan sát thẻ thông tin phía trên đầu trang Bảng điều khiển.</t>
        </is>
      </c>
      <c r="F12" s="70" t="inlineStr">
        <is>
          <t>1-2. Hiển thị đúng Họ tên 'Nguyễn Văn A', MST '0123456789', CCCD '001200012345', Email và Badge xanh 'Đã Xác Thực Thuế Điện Tử'.</t>
        </is>
      </c>
      <c r="G12" s="70" t="inlineStr">
        <is>
          <t>Thẻ thông tin định danh hiển thị đầy đủ, chính xác hồ sơ của người nộp thuế đang đăng nhập.</t>
        </is>
      </c>
      <c r="H12" s="67" t="inlineStr">
        <is>
          <t>Passed</t>
        </is>
      </c>
    </row>
    <row r="13" ht="42" customHeight="1">
      <c r="A13" s="62" t="n"/>
      <c r="B13" s="68" t="n"/>
      <c r="C13" s="64" t="inlineStr">
        <is>
          <t>GUI 005</t>
        </is>
      </c>
      <c r="D13" s="66" t="inlineStr">
        <is>
          <t>Kiểm tra căn giữa nút 'Nộp Tờ Khai Thuế' và bố cục 2 cột trên Tab Kê khai thuế</t>
        </is>
      </c>
      <c r="E13" s="66" t="inlineStr">
        <is>
          <t>1. Tại Tab '1. Kê Khai &amp; Tính Thuế' trên /dashboard.html, quan sát cột trái (Form nhập) và cột phải (Bảng tính tự động).
2. Kiểm tra vị trí nút 'Nộp Tờ Khai Thuế'.</t>
        </is>
      </c>
      <c r="F13" s="66" t="inlineStr">
        <is>
          <t>1. Hai cột chia tỷ lệ cân đối (col-lg-6).
2. Nút 'Nộp Tờ Khai Thuế' nằm chính giữa khu vực cuối form (d-flex justify-content-center).</t>
        </is>
      </c>
      <c r="G13" s="66" t="inlineStr">
        <is>
          <t>Nút 'Nộp Tờ Khai Thuế' được căn giữa hoàn hảo, màu xanh lá nổi bật kèm biểu tượng đám mây tải lên.</t>
        </is>
      </c>
      <c r="H13" s="67" t="inlineStr">
        <is>
          <t>Passed</t>
        </is>
      </c>
    </row>
    <row r="14" ht="42" customHeight="1">
      <c r="A14" s="62" t="n"/>
      <c r="B14" s="68" t="n"/>
      <c r="C14" s="69" t="inlineStr">
        <is>
          <t>GUI 006</t>
        </is>
      </c>
      <c r="D14" s="70" t="inlineStr">
        <is>
          <t>Kiểm tra hiệu ứng tô màu nổi bật các bậc thuế có phát sinh tiền thuế (&gt; 0đ) trong bảng 5 bậc</t>
        </is>
      </c>
      <c r="E14" s="70" t="inlineStr">
        <is>
          <t>1. Nhập mức lương phát sinh thuế ở Bậc 1 và Bậc 2 (VD: Lương 45.000.000đ).
2. Quan sát bảng 'Chi tiết số thuế theo 5 bậc mới'.</t>
        </is>
      </c>
      <c r="F14" s="70" t="inlineStr">
        <is>
          <t>1. Các bậc có tiền thuế &gt; 0 được tô nền vàng nhạt (table-warning) và gắn huy hiệu đỏ (bg-danger).
2. Các bậc = 0đ có huy hiệu xám (bg-secondary).</t>
        </is>
      </c>
      <c r="G14" s="70" t="inlineStr">
        <is>
          <t>Người nộp thuế dễ dàng nhận biết ngay mình đang chịu thuế ở những bậc nào nhờ màu sắc trực quan.</t>
        </is>
      </c>
      <c r="H14" s="67" t="inlineStr">
        <is>
          <t>Passed</t>
        </is>
      </c>
    </row>
    <row r="15" ht="42" customHeight="1">
      <c r="A15" s="62" t="n"/>
      <c r="B15" s="71" t="n"/>
      <c r="C15" s="64" t="inlineStr">
        <is>
          <t>GUI 007</t>
        </is>
      </c>
      <c r="D15" s="66" t="inlineStr">
        <is>
          <t>Kiểm tra tự động chuyển Tab sang 'Danh Sách Tờ Khai &amp; Đóng Thuế' sau khi nộp tờ khai thành công</t>
        </is>
      </c>
      <c r="E15" s="66" t="inlineStr">
        <is>
          <t>1. Tại Tab 1, nhấn nút 'Nộp Tờ Khai Thuế' và nhấn OK trên thông báo thành công.
2. Quan sát trạng thái chuyển Tab trên giao diện.</t>
        </is>
      </c>
      <c r="F15" s="66" t="inlineStr">
        <is>
          <t>1. bootstrap.Tab(document.getElementById('history-tab')).show() được gọi tự động.
2. Bảng danh sách tờ khai tải lại và hiển thị ngay tờ khai mới ở dòng đầu.</t>
        </is>
      </c>
      <c r="G15" s="66" t="inlineStr">
        <is>
          <t>Luồng trải nghiệm người dùng liền mạch, tự động mở danh sách tờ khai để người dùng tiến hành đóng thuế ngay.</t>
        </is>
      </c>
      <c r="H15" s="67" t="inlineStr">
        <is>
          <t>Passed</t>
        </is>
      </c>
    </row>
    <row r="16" ht="42" customHeight="1">
      <c r="A16" s="62" t="n"/>
      <c r="B16" s="63" t="inlineStr">
        <is>
          <t>3. Giao diện Thanh toán,
Biên lai &amp; Admin (GUI)</t>
        </is>
      </c>
      <c r="C16" s="69" t="inlineStr">
        <is>
          <t>GUI 008</t>
        </is>
      </c>
      <c r="D16" s="70" t="inlineStr">
        <is>
          <t>Kiểm tra giao diện Modal 'Cổng Đóng Thuế Trực Tuyến' và khung hiển thị mã QR</t>
        </is>
      </c>
      <c r="E16" s="70" t="inlineStr">
        <is>
          <t>1. Nhấn nút 'Đóng thuế' tại một tờ khai đang chờ nộp.
2. Quan sát bố cục Modal Cổng Đóng Thuế Trực Tuyến.</t>
        </is>
      </c>
      <c r="F16" s="70" t="inlineStr">
        <is>
          <t>1-2. Modal hiển thị tiêu đề nền xanh lá, Mã tờ khai, Số tiền thuế chữ lớn màu đỏ, hộp chọn 3 phương thức thanh toán và biểu tượng Mã QR ở chính giữa.</t>
        </is>
      </c>
      <c r="G16" s="70" t="inlineStr">
        <is>
          <t>Modal thanh toán hiển thị rõ ràng, đầy đủ thông tin giao dịch và trực quan.</t>
        </is>
      </c>
      <c r="H16" s="67" t="inlineStr">
        <is>
          <t>Passed</t>
        </is>
      </c>
    </row>
    <row r="17" ht="42" customHeight="1">
      <c r="A17" s="62" t="n"/>
      <c r="B17" s="68" t="n"/>
      <c r="C17" s="64" t="inlineStr">
        <is>
          <t>GUI 009</t>
        </is>
      </c>
      <c r="D17" s="66" t="inlineStr">
        <is>
          <t>Kiểm tra giao diện Modal 'Biên Lai Nộp Thuế Điện Tử' chuẩn mẫu hành chính nhà nước</t>
        </is>
      </c>
      <c r="E17" s="66" t="inlineStr">
        <is>
          <t>1. Nhấn nút 'Xem biên lai' tại một tờ khai đã nộp thuế.
2. Kiểm tra bố cục văn bản và con dấu xác nhận.</t>
        </is>
      </c>
      <c r="F17" s="66" t="inlineStr">
        <is>
          <t>1-2. Biên lai có Quốc hiệu, Tiêu ngữ, tiêu đề 'GIẤY NỘP TIỀN VÀO NGÂN SÁCH NHÀ NƯỚC', Mã giao dịch, Mã biên lai, trạng thái 'THÀNH CÔNG (ĐÃ VÀO KBNN)' và biểu tượng con dấu điện tử.</t>
        </is>
      </c>
      <c r="G17" s="66" t="inlineStr">
        <is>
          <t>Biên lai nộp thuế điện tử trình bày trang trọng, chuẩn mẫu chứng từ thuế nhà nước và in ấn đẹp mắt.</t>
        </is>
      </c>
      <c r="H17" s="67" t="inlineStr">
        <is>
          <t>Passed</t>
        </is>
      </c>
    </row>
    <row r="18" ht="42" customHeight="1">
      <c r="A18" s="62" t="n"/>
      <c r="B18" s="68" t="n"/>
      <c r="C18" s="69" t="inlineStr">
        <is>
          <t>GUI 010</t>
        </is>
      </c>
      <c r="D18" s="70" t="inlineStr">
        <is>
          <t>Kiểm tra giao diện Cổng Quản trị Cán bộ thuế (/admin.html): 3 thẻ thống kê và bộ lọc</t>
        </is>
      </c>
      <c r="E18" s="70" t="inlineStr">
        <is>
          <t>1. Đăng nhập tài khoản 'admin' vào /admin.html.
2. Quan sát 3 thẻ thống kê trên cùng (Tổng số tờ khai, Đã thu vào KBNN, Thuế còn nợ) và thanh bộ lọc.</t>
        </is>
      </c>
      <c r="F18" s="70" t="inlineStr">
        <is>
          <t>1-2. Ba thẻ thống kê có viền màu phân biệt rõ (Xanh dương, Xanh lá, Vàng cam), thanh bộ lọc bố trí gọn gàng trên 1 hàng ngang cùng nút Xuất CSV.</t>
        </is>
      </c>
      <c r="G18" s="70" t="inlineStr">
        <is>
          <t>Giao diện quản trị khoa học, giúp cán bộ thuế nắm bắt tức thì tình hình thu ngân sách.</t>
        </is>
      </c>
      <c r="H18" s="67" t="inlineStr">
        <is>
          <t>Passed</t>
        </is>
      </c>
    </row>
    <row r="19" ht="42" customHeight="1">
      <c r="A19" s="62" t="n"/>
      <c r="B19" s="68" t="n"/>
      <c r="C19" s="64" t="inlineStr">
        <is>
          <t>GUI 011</t>
        </is>
      </c>
      <c r="D19" s="66" t="inlineStr">
        <is>
          <t>Kiểm tra tính tương thích trình duyệt (Chrome, Edge) và khả năng co giãn Responsive</t>
        </is>
      </c>
      <c r="E19" s="66" t="inlineStr">
        <is>
          <t>1. Mở ứng dụng trên cả Google Chrome và Microsoft Edge.
2. Thu nhỏ kích thước cửa sổ trình duyệt về kích thước màn hình Laptop (1366x768) và Tablet (768x1024).</t>
        </is>
      </c>
      <c r="F19" s="66" t="inlineStr">
        <is>
          <t>1. Giao diện hiển thị đồng nhất trên cả 2 trình duyệt.
2. Hệ thống lưới Bootstrap 5 tự động xếp chồng cột (col-lg-6) và kích hoạt thanh cuộn ngang cho bảng (table-responsive).</t>
        </is>
      </c>
      <c r="G19" s="66" t="inlineStr">
        <is>
          <t>Ứng dụng tương thích đa trình duyệt và đáp ứng tốt trên nhiều kích thước màn hình khác nhau.</t>
        </is>
      </c>
      <c r="H19" s="67" t="inlineStr">
        <is>
          <t>Passed</t>
        </is>
      </c>
    </row>
    <row r="20" ht="42" customHeight="1">
      <c r="A20" s="62" t="n"/>
      <c r="B20" s="71" t="n"/>
      <c r="C20" s="69" t="inlineStr">
        <is>
          <t>GUI 012</t>
        </is>
      </c>
      <c r="D20" s="70" t="inlineStr">
        <is>
          <t>Kiểm tra tính nhất quán và rõ ràng của các thông báo phản hồi người dùng (Alerts &amp; Badges)</t>
        </is>
      </c>
      <c r="E20" s="70" t="inlineStr">
        <is>
          <t>1. Thực hiện các thao tác: Đăng ký, Đăng nhập, Nộp tờ khai, Đóng thuế, Lưu cấu hình.
2. Kiểm tra nội dung các hộp thoại thông báo và nhãn trạng thái.</t>
        </is>
      </c>
      <c r="F20" s="70" t="inlineStr">
        <is>
          <t>1-2. Toàn bộ thông báo sử dụng tiếng Việt chuẩn mực, nêu rõ kết quả (kèm Mã tờ khai / Mã biên lai) hoặc hướng dẫn cách sửa lỗi cụ thể.</t>
        </is>
      </c>
      <c r="G20" s="70" t="inlineStr">
        <is>
          <t>Thông báo thân thiện, rõ ràng, hỗ trợ tối đa cho người nộp thuế trong suốt quá trình sử dụng.</t>
        </is>
      </c>
      <c r="H20" s="67" t="inlineStr">
        <is>
          <t>Passed</t>
        </is>
      </c>
    </row>
    <row r="21">
      <c r="A21" s="62" t="n"/>
      <c r="B21" s="62" t="n"/>
      <c r="C21" s="72" t="n"/>
      <c r="D21" s="62" t="n"/>
      <c r="E21" s="62" t="n"/>
      <c r="F21" s="62" t="n"/>
      <c r="G21" s="62" t="n"/>
      <c r="H21" s="73" t="n"/>
    </row>
    <row r="22">
      <c r="A22" s="62" t="n"/>
      <c r="B22" s="62" t="n"/>
      <c r="C22" s="72" t="n"/>
      <c r="D22" s="62" t="n"/>
      <c r="E22" s="62" t="n"/>
      <c r="F22" s="62" t="n"/>
      <c r="G22" s="62" t="n"/>
      <c r="H22" s="73" t="n"/>
    </row>
    <row r="23">
      <c r="A23" s="62" t="n"/>
      <c r="B23" s="62" t="n"/>
      <c r="C23" s="74" t="n"/>
      <c r="D23" s="62" t="n"/>
      <c r="E23" s="62" t="n"/>
      <c r="F23" s="62" t="n"/>
      <c r="G23" s="62" t="n"/>
      <c r="H23" s="73" t="n"/>
    </row>
    <row r="24">
      <c r="A24" s="62" t="n"/>
      <c r="B24" s="62" t="n"/>
      <c r="C24" s="74" t="n"/>
      <c r="D24" s="62" t="n"/>
      <c r="E24" s="62" t="n"/>
      <c r="F24" s="62" t="n"/>
      <c r="G24" s="62" t="n"/>
      <c r="H24" s="73" t="n"/>
    </row>
    <row r="25">
      <c r="A25" s="62" t="n"/>
      <c r="B25" s="62" t="n"/>
      <c r="C25" s="74" t="n"/>
      <c r="D25" s="62" t="n"/>
      <c r="E25" s="62" t="n"/>
      <c r="F25" s="62" t="n"/>
      <c r="G25" s="62" t="n"/>
      <c r="H25" s="73" t="n"/>
    </row>
    <row r="26" ht="12.75" customHeight="1">
      <c r="A26" s="62" t="n"/>
      <c r="B26" s="62" t="n"/>
      <c r="C26" s="74" t="n"/>
      <c r="D26" s="62" t="n"/>
      <c r="E26" s="62" t="n"/>
      <c r="F26" s="62" t="n"/>
      <c r="G26" s="62" t="n"/>
      <c r="H26" s="73" t="n"/>
    </row>
    <row r="27">
      <c r="A27" s="62" t="n"/>
      <c r="B27" s="62" t="n"/>
      <c r="C27" s="74" t="n"/>
      <c r="D27" s="62" t="n"/>
      <c r="E27" s="62" t="n"/>
      <c r="F27" s="62" t="n"/>
      <c r="G27" s="62" t="n"/>
      <c r="H27" s="73" t="n"/>
    </row>
    <row r="28">
      <c r="A28" s="62" t="n"/>
      <c r="B28" s="62" t="n"/>
      <c r="C28" s="74" t="n"/>
      <c r="D28" s="62" t="n"/>
      <c r="E28" s="62" t="n"/>
      <c r="F28" s="62" t="n"/>
      <c r="G28" s="62" t="n"/>
      <c r="H28" s="73" t="n"/>
    </row>
    <row r="29">
      <c r="A29" s="62" t="n"/>
      <c r="B29" s="62" t="n"/>
      <c r="C29" s="74" t="n"/>
      <c r="D29" s="62" t="n"/>
      <c r="E29" s="62" t="n"/>
      <c r="F29" s="62" t="n"/>
      <c r="G29" s="62" t="n"/>
      <c r="H29" s="73" t="n"/>
    </row>
    <row r="30">
      <c r="A30" s="62" t="n"/>
      <c r="B30" s="62" t="n"/>
      <c r="C30" s="74" t="n"/>
      <c r="D30" s="62" t="n"/>
      <c r="E30" s="62" t="n"/>
      <c r="F30" s="62" t="n"/>
      <c r="G30" s="62" t="n"/>
      <c r="H30" s="73" t="n"/>
    </row>
    <row r="31">
      <c r="A31" s="62" t="n"/>
      <c r="B31" s="62" t="n"/>
      <c r="C31" s="74" t="n"/>
      <c r="D31" s="62" t="n"/>
      <c r="E31" s="62" t="n"/>
      <c r="F31" s="62" t="n"/>
      <c r="G31" s="62" t="n"/>
      <c r="H31" s="73" t="n"/>
    </row>
    <row r="32">
      <c r="A32" s="62" t="n"/>
      <c r="B32" s="62" t="n"/>
      <c r="C32" s="74" t="n"/>
      <c r="D32" s="62" t="n"/>
      <c r="E32" s="62" t="n"/>
      <c r="F32" s="62" t="n"/>
      <c r="G32" s="62" t="n"/>
      <c r="H32" s="73" t="n"/>
    </row>
    <row r="33">
      <c r="A33" s="62" t="n"/>
      <c r="B33" s="62" t="n"/>
      <c r="C33" s="74" t="n"/>
      <c r="D33" s="62" t="n"/>
      <c r="E33" s="62" t="n"/>
      <c r="F33" s="62" t="n"/>
      <c r="G33" s="62" t="n"/>
      <c r="H33" s="73" t="n"/>
    </row>
  </sheetData>
  <mergeCells count="10">
    <mergeCell ref="E7:F7"/>
    <mergeCell ref="B12:B15"/>
    <mergeCell ref="C7:C8"/>
    <mergeCell ref="B7:B8"/>
    <mergeCell ref="D7:D8"/>
    <mergeCell ref="G7:G8"/>
    <mergeCell ref="B9:B11"/>
    <mergeCell ref="H7:H8"/>
    <mergeCell ref="A1:H1"/>
    <mergeCell ref="B16:B20"/>
  </mergeCells>
  <dataValidations count="1">
    <dataValidation sqref="H9:H33" showDropDown="0" showInputMessage="1" showErrorMessage="1" allowBlank="1" type="list">
      <formula1>$G$2:$G$5</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DuChu</dc:creator>
  <dc:subject xmlns:dc="http://purl.org/dc/elements/1.1/">Test Case Template</dc:subject>
  <dcterms:created xmlns:dcterms="http://purl.org/dc/terms/" xmlns:xsi="http://www.w3.org/2001/XMLSchema-instance" xsi:type="dcterms:W3CDTF">2001-08-15T13:11:45Z</dcterms:created>
  <dcterms:modified xmlns:dcterms="http://purl.org/dc/terms/" xmlns:xsi="http://www.w3.org/2001/XMLSchema-instance" xsi:type="dcterms:W3CDTF">2026-10-11T14:12:29Z</dcterms:modified>
  <cp:lastModifiedBy>Mai Xuan Trang</cp:lastModifiedBy>
  <cp:lastPrinted>2002-11-06T09:49:41Z</cp:lastPrinted>
</cp:coreProperties>
</file>

<file path=docProps/custom.xml><?xml version="1.0" encoding="utf-8"?>
<Properties xmlns="http://schemas.openxmlformats.org/officeDocument/2006/custom-properties">
  <property name="Department" fmtid="{D5CDD505-2E9C-101B-9397-08002B2CF9AE}" pid="2">
    <vt:lpwstr xmlns:vt="http://schemas.openxmlformats.org/officeDocument/2006/docPropsVTypes">Quality Control</vt:lpwstr>
  </property>
  <property name="Owner" fmtid="{D5CDD505-2E9C-101B-9397-08002B2CF9AE}" pid="3">
    <vt:lpwstr xmlns:vt="http://schemas.openxmlformats.org/officeDocument/2006/docPropsVTypes">DuChu</vt:lpwstr>
  </property>
  <property name="ContentTypeId" fmtid="{D5CDD505-2E9C-101B-9397-08002B2CF9AE}" pid="4">
    <vt:lpwstr xmlns:vt="http://schemas.openxmlformats.org/officeDocument/2006/docPropsVTypes">0x0101009064D6C488808240A931504663625519</vt:lpwstr>
  </property>
</Properties>
</file>